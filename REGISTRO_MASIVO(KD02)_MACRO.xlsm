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krat\OneDrive\Documentos\PRUEBA_ODOO17.4\EXCEL-BD-ODOO17-main\"/>
    </mc:Choice>
  </mc:AlternateContent>
  <xr:revisionPtr revIDLastSave="0" documentId="13_ncr:1_{041227ED-2E86-4360-8858-191B2ABD3ECE}" xr6:coauthVersionLast="47" xr6:coauthVersionMax="47" xr10:uidLastSave="{00000000-0000-0000-0000-000000000000}"/>
  <bookViews>
    <workbookView xWindow="28680" yWindow="4545" windowWidth="20730" windowHeight="11040" tabRatio="818" xr2:uid="{00000000-000D-0000-FFFF-FFFF00000000}"/>
  </bookViews>
  <sheets>
    <sheet name="Productos" sheetId="1" r:id="rId1"/>
    <sheet name="Atributos" sheetId="4" r:id="rId2"/>
    <sheet name="Orden de Compra" sheetId="3" r:id="rId3"/>
    <sheet name="Reposición" sheetId="5" r:id="rId4"/>
    <sheet name="Base de Datos Productos" sheetId="10" r:id="rId5"/>
    <sheet name="Base de Datos Variantes" sheetId="11" r:id="rId6"/>
    <sheet name="Base de Datos Proveedores" sheetId="12" r:id="rId7"/>
    <sheet name="Base de Datos Categorias" sheetId="9" r:id="rId8"/>
    <sheet name="Base de Datos Atributos" sheetId="13" r:id="rId9"/>
  </sheets>
  <definedNames>
    <definedName name="CategoryList">#REF!</definedName>
    <definedName name="DatosExternos_1" localSheetId="8" hidden="1">'Base de Datos Atributos'!$A$1:$C$3</definedName>
    <definedName name="DatosExternos_2" localSheetId="7" hidden="1">'Base de Datos Categorias'!$A$1:$B$31</definedName>
    <definedName name="DatosExternos_3" localSheetId="4" hidden="1">'Base de Datos Productos'!$A$1:$F$7</definedName>
    <definedName name="DatosExternos_4" localSheetId="5" hidden="1">'Base de Datos Variantes'!$A$1:$F$11</definedName>
    <definedName name="DatosExternos_5" localSheetId="6" hidden="1">'Base de Datos Proveedores'!$A$1:$B$12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5" l="1"/>
  <c r="G3" i="5"/>
  <c r="H2" i="1"/>
  <c r="H3" i="1"/>
  <c r="J3" i="1" s="1"/>
  <c r="H4" i="1"/>
  <c r="J4" i="1" s="1"/>
  <c r="H5" i="1"/>
  <c r="J5" i="1" s="1"/>
  <c r="A9" i="3"/>
  <c r="B9" i="3"/>
  <c r="A8" i="3"/>
  <c r="B8" i="3"/>
  <c r="A7" i="3"/>
  <c r="B7" i="3"/>
  <c r="A6" i="3"/>
  <c r="B6" i="3"/>
  <c r="A5" i="3"/>
  <c r="B5" i="3"/>
  <c r="A4" i="3"/>
  <c r="B4" i="3"/>
  <c r="A3" i="3"/>
  <c r="B3" i="3"/>
  <c r="A5" i="1"/>
  <c r="I5" i="1"/>
  <c r="K5" i="1"/>
  <c r="L5" i="1"/>
  <c r="M5" i="1"/>
  <c r="A4" i="1"/>
  <c r="I4" i="1"/>
  <c r="K4" i="1"/>
  <c r="L4" i="1"/>
  <c r="M4" i="1"/>
  <c r="A3" i="1"/>
  <c r="I3" i="1"/>
  <c r="K3" i="1"/>
  <c r="L3" i="1"/>
  <c r="M3" i="1"/>
  <c r="A2" i="3"/>
  <c r="L3" i="5"/>
  <c r="K3" i="5"/>
  <c r="L2" i="5"/>
  <c r="K2" i="5"/>
  <c r="J3" i="5"/>
  <c r="J2" i="5"/>
  <c r="I3" i="5"/>
  <c r="I2" i="5"/>
  <c r="A3" i="5"/>
  <c r="H3" i="5"/>
  <c r="H2" i="5"/>
  <c r="A2" i="5"/>
  <c r="B2" i="3"/>
  <c r="J2" i="1"/>
  <c r="I2" i="1"/>
  <c r="M2" i="1"/>
  <c r="L2" i="1"/>
  <c r="K2" i="1"/>
  <c r="A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5153C5-3FE7-4B71-85D0-E77F5576C732}" keepAlive="1" name="Consulta - odoo_bd atributos" description="Conexión a la consulta 'odoo_bd atributos' en el libro." type="5" refreshedVersion="8" background="1" saveData="1">
    <dbPr connection="Provider=Microsoft.Mashup.OleDb.1;Data Source=$Workbook$;Location=&quot;odoo_bd atributos&quot;;Extended Properties=&quot;&quot;" command="SELECT * FROM [odoo_bd atributos]"/>
  </connection>
  <connection id="2" xr16:uid="{A860882F-51FD-4A31-9D4B-B88E9CE8449D}" keepAlive="1" name="Consulta - odoo_bd categorias" description="Conexión a la consulta 'odoo_bd categorias' en el libro." type="5" refreshedVersion="8" background="1" saveData="1">
    <dbPr connection="Provider=Microsoft.Mashup.OleDb.1;Data Source=$Workbook$;Location=&quot;odoo_bd categorias&quot;;Extended Properties=&quot;&quot;" command="SELECT * FROM [odoo_bd categorias]"/>
  </connection>
  <connection id="3" xr16:uid="{D8D129A6-AD94-4403-884A-808DFAE001D9}" keepAlive="1" name="Consulta - odoo_bd productos" description="Conexión a la consulta 'odoo_bd productos' en el libro." type="5" refreshedVersion="8" background="1" saveData="1">
    <dbPr connection="Provider=Microsoft.Mashup.OleDb.1;Data Source=$Workbook$;Location=&quot;odoo_bd productos&quot;;Extended Properties=&quot;&quot;" command="SELECT * FROM [odoo_bd productos]"/>
  </connection>
  <connection id="4" xr16:uid="{73A13714-BB85-4BC1-ACB7-10D8DD046D4F}" keepAlive="1" name="Consulta - odoo_bd proveedores" description="Conexión a la consulta 'odoo_bd proveedores' en el libro." type="5" refreshedVersion="8" background="1" saveData="1">
    <dbPr connection="Provider=Microsoft.Mashup.OleDb.1;Data Source=$Workbook$;Location=&quot;odoo_bd proveedores&quot;;Extended Properties=&quot;&quot;" command="SELECT * FROM [odoo_bd proveedores]"/>
  </connection>
  <connection id="5" xr16:uid="{7D39A8B3-B07F-4B1A-BC58-4D6814D2D220}" keepAlive="1" name="Consulta - odoo_bd variantes" description="Conexión a la consulta 'odoo_bd variantes' en el libro." type="5" refreshedVersion="8" background="1" saveData="1">
    <dbPr connection="Provider=Microsoft.Mashup.OleDb.1;Data Source=$Workbook$;Location=&quot;odoo_bd variantes&quot;;Extended Properties=&quot;&quot;" command="SELECT * FROM [odoo_bd variantes]"/>
  </connection>
</connections>
</file>

<file path=xl/sharedStrings.xml><?xml version="1.0" encoding="utf-8"?>
<sst xmlns="http://schemas.openxmlformats.org/spreadsheetml/2006/main" count="245" uniqueCount="145">
  <si>
    <t>Referencia Interna</t>
  </si>
  <si>
    <t>Nombre</t>
  </si>
  <si>
    <t>Categoría del Producto</t>
  </si>
  <si>
    <t>Atributos del producto / Atributo</t>
  </si>
  <si>
    <t>Activo</t>
  </si>
  <si>
    <t>¿Existe en su Base de Datos?</t>
  </si>
  <si>
    <t>Atributos del producto / Valores</t>
  </si>
  <si>
    <t>Precio de venta</t>
  </si>
  <si>
    <t>Disponible en PdV</t>
  </si>
  <si>
    <t>Tipo de producto</t>
  </si>
  <si>
    <t>Compra</t>
  </si>
  <si>
    <t>Venta</t>
  </si>
  <si>
    <t>Home / Iluminacion / Kawai</t>
  </si>
  <si>
    <t>Impuesto de ventas / ID externo</t>
  </si>
  <si>
    <t>Talla</t>
  </si>
  <si>
    <t>X,L,M,S</t>
  </si>
  <si>
    <t>Color</t>
  </si>
  <si>
    <t>Peso</t>
  </si>
  <si>
    <t>Referencia interna</t>
  </si>
  <si>
    <t>Escribir Aquí Refrencia Interna</t>
  </si>
  <si>
    <t>Exportar Aquí Variantes</t>
  </si>
  <si>
    <t>ID externo</t>
  </si>
  <si>
    <t>Proveedor</t>
  </si>
  <si>
    <t>Referencia de proveedor</t>
  </si>
  <si>
    <t>Líneas de la orden / Producto</t>
  </si>
  <si>
    <t>Líneas de la orden / Precio unitario</t>
  </si>
  <si>
    <t>Líneas de la orden / Cantidad</t>
  </si>
  <si>
    <t>Empresa</t>
  </si>
  <si>
    <t>Prioridad</t>
  </si>
  <si>
    <t>Líneas de la orden / Impuestos</t>
  </si>
  <si>
    <t>Categoría del producto</t>
  </si>
  <si>
    <t>PRODUCTO PRUEBA 2</t>
  </si>
  <si>
    <t>All</t>
  </si>
  <si>
    <t>ROJO,BLANCO,VERDE</t>
  </si>
  <si>
    <t>id</t>
  </si>
  <si>
    <t>prod_id</t>
  </si>
  <si>
    <t>nombre</t>
  </si>
  <si>
    <t>referencia_interna</t>
  </si>
  <si>
    <t>categoria</t>
  </si>
  <si>
    <t>atributos</t>
  </si>
  <si>
    <t>0</t>
  </si>
  <si>
    <t>CABALLERO / PANTALON / FILIPO ALPI</t>
  </si>
  <si>
    <t/>
  </si>
  <si>
    <t>variant_id</t>
  </si>
  <si>
    <t>producto_id</t>
  </si>
  <si>
    <t>proveedor_nombre</t>
  </si>
  <si>
    <t>Jhamil Crispin</t>
  </si>
  <si>
    <t>KdoshStore</t>
  </si>
  <si>
    <t>ACCESORIO</t>
  </si>
  <si>
    <t>ACCESORIO / ALMANAQUE</t>
  </si>
  <si>
    <t>ACCESORIO / ARETES</t>
  </si>
  <si>
    <t>All / Deliveries</t>
  </si>
  <si>
    <t>All / Expenses</t>
  </si>
  <si>
    <t>All / Saleable</t>
  </si>
  <si>
    <t>All / Saleable / Booking Fees</t>
  </si>
  <si>
    <t>All / Saleable / PoS</t>
  </si>
  <si>
    <t>BB</t>
  </si>
  <si>
    <t>C. DE LA PIEL</t>
  </si>
  <si>
    <t>C. DE LA PIEL / C. OJOS</t>
  </si>
  <si>
    <t>C. DE LA PIEL / CORPORAL</t>
  </si>
  <si>
    <t>C. DE LA PIEL / FACIAL</t>
  </si>
  <si>
    <t>C. DE LA PIEL / LABIOS</t>
  </si>
  <si>
    <t>C. DE LA PIEL / MANOS</t>
  </si>
  <si>
    <t>C. DE LA PIEL / P. INTIMAS</t>
  </si>
  <si>
    <t>C. DE LA PIEL / PIES</t>
  </si>
  <si>
    <t>C. DE LA PIEL / TODO CUERPO</t>
  </si>
  <si>
    <t>Relajantes</t>
  </si>
  <si>
    <t>Relajantes / Accesorios</t>
  </si>
  <si>
    <t>Relajantes / Accesorios / Papel</t>
  </si>
  <si>
    <t>Relajantes / Baño</t>
  </si>
  <si>
    <t>Relajantes / Baño / Tapa</t>
  </si>
  <si>
    <t>Relajantes / Infusiones</t>
  </si>
  <si>
    <t>Relajantes / Infusiones / Copado</t>
  </si>
  <si>
    <t>Relajantes / Masajeadores</t>
  </si>
  <si>
    <t>Relajantes / Masajeadores / Rastrillo</t>
  </si>
  <si>
    <t>114</t>
  </si>
  <si>
    <t>Bolsa</t>
  </si>
  <si>
    <t>2</t>
  </si>
  <si>
    <t>Tips</t>
  </si>
  <si>
    <t>TIPS</t>
  </si>
  <si>
    <t>Consumidor Final</t>
  </si>
  <si>
    <t>EMPRESA JHAMIL</t>
  </si>
  <si>
    <t>Kdosh Store HUANUCO</t>
  </si>
  <si>
    <t>Kdosh Store TINGO MARIA</t>
  </si>
  <si>
    <t>MI PROVEEDOR</t>
  </si>
  <si>
    <t>TAXISTA</t>
  </si>
  <si>
    <t>TRANSPORTES CESPEDES CARGO EIRL</t>
  </si>
  <si>
    <t>Vendedor</t>
  </si>
  <si>
    <t>Vendedor TM</t>
  </si>
  <si>
    <t>Si existe en su Base de Datos</t>
  </si>
  <si>
    <t>SB-322</t>
  </si>
  <si>
    <t>NIU SB-322 BAÑERA PEGABLE</t>
  </si>
  <si>
    <t>AE-S011</t>
  </si>
  <si>
    <t>NIU AE-S011 humidifier blanco</t>
  </si>
  <si>
    <t>AE-S013</t>
  </si>
  <si>
    <t>NIU AE-S013 humidifier multicolor espejo</t>
  </si>
  <si>
    <t>AE-G008</t>
  </si>
  <si>
    <t>NIU AE-G008 HUMIDIFICADOR PROYECCION</t>
  </si>
  <si>
    <t>BLANCO,AZUL</t>
  </si>
  <si>
    <t>AZUL,ROJO</t>
  </si>
  <si>
    <t>AMARILLO,ESMERALDA</t>
  </si>
  <si>
    <t>__export__.product_product_325_9c690607</t>
  </si>
  <si>
    <t>Color: AMARILLO</t>
  </si>
  <si>
    <t>__export__.product_product_326_b49ad218</t>
  </si>
  <si>
    <t>Color: ESMERALDA</t>
  </si>
  <si>
    <t>AE-G008|AMARILLO</t>
  </si>
  <si>
    <t>AE-G008|ESMERALDA</t>
  </si>
  <si>
    <t>__export__.product_product_321_2ba698b7</t>
  </si>
  <si>
    <t>Color: BLANCO</t>
  </si>
  <si>
    <t>__export__.product_product_322_b3a377fc</t>
  </si>
  <si>
    <t>Color: AZUL</t>
  </si>
  <si>
    <t>AE-S011|BLANCO</t>
  </si>
  <si>
    <t>AE-S011|AZUL</t>
  </si>
  <si>
    <t>__export__.product_product_323_3a541ed9</t>
  </si>
  <si>
    <t>__export__.product_product_324_80e3f4ab</t>
  </si>
  <si>
    <t>Color: ROJO</t>
  </si>
  <si>
    <t>AE-S013|AZUL</t>
  </si>
  <si>
    <t>AE-S013|ROJO</t>
  </si>
  <si>
    <t>__export__.product_product_319_653b227b</t>
  </si>
  <si>
    <t>__export__.product_product_320_5ea80d5a</t>
  </si>
  <si>
    <t>SB-322|ROJO</t>
  </si>
  <si>
    <t>SB-322|BLANCO</t>
  </si>
  <si>
    <t>ODOO.LIST(id,1,"product_variant_ids")</t>
  </si>
  <si>
    <t>[AE-G008|AMARILLO] NIU AE-G008 HUMIDIFICADOR PROYECCION (AMARILLO)</t>
  </si>
  <si>
    <t>[AE-G008|ESMERALDA] NIU AE-G008 HUMIDIFICADOR PROYECCION (ESMERALDA)</t>
  </si>
  <si>
    <t>[AE-S011|AZUL] NIU AE-S011 humidifier blanco (AZUL)</t>
  </si>
  <si>
    <t>[AE-S011|BLANCO] NIU AE-S011 humidifier blanco (BLANCO)</t>
  </si>
  <si>
    <t>[AE-S013|AZUL] NIU AE-S013 humidifier multicolor espejo (AZUL)</t>
  </si>
  <si>
    <t>[AE-S013|ROJO] NIU AE-S013 humidifier multicolor espejo (ROJO)</t>
  </si>
  <si>
    <t>[SB-322|BLANCO] NIU SB-322 BAÑERA PEGABLE (BLANCO), [SB-322|ROJO] NIU SB-322 BAÑERA PEGABLE (ROJO)</t>
  </si>
  <si>
    <t>[SB-322|BLANCO] NIU SB-322 BAÑERA PEGABLE (BLANCO)</t>
  </si>
  <si>
    <t>[SB-322|ROJO] NIU SB-322 BAÑERA PEGABLE (ROJO)</t>
  </si>
  <si>
    <t>REF008</t>
  </si>
  <si>
    <t>165</t>
  </si>
  <si>
    <t>AMARILLO, ESMERALDA</t>
  </si>
  <si>
    <t>163</t>
  </si>
  <si>
    <t>AZUL, BLANCO</t>
  </si>
  <si>
    <t>164</t>
  </si>
  <si>
    <t>ROJO, AZUL</t>
  </si>
  <si>
    <t>162</t>
  </si>
  <si>
    <t>ROJO, BLANCO</t>
  </si>
  <si>
    <t>nombre_atributo</t>
  </si>
  <si>
    <t>valores_atributo</t>
  </si>
  <si>
    <t>L,M,S,X</t>
  </si>
  <si>
    <t>AMARILLO,AZUL,BLANCO,ESMERALDA,ROJO,ROSADO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</si>
</sst>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5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C0C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180975</xdr:rowOff>
        </xdr:from>
        <xdr:to>
          <xdr:col>15</xdr:col>
          <xdr:colOff>428625</xdr:colOff>
          <xdr:row>2</xdr:row>
          <xdr:rowOff>152400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0</xdr:row>
          <xdr:rowOff>161925</xdr:rowOff>
        </xdr:from>
        <xdr:to>
          <xdr:col>17</xdr:col>
          <xdr:colOff>409575</xdr:colOff>
          <xdr:row>2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95250</xdr:rowOff>
        </xdr:from>
        <xdr:to>
          <xdr:col>8</xdr:col>
          <xdr:colOff>304800</xdr:colOff>
          <xdr:row>2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66675</xdr:rowOff>
        </xdr:from>
        <xdr:to>
          <xdr:col>10</xdr:col>
          <xdr:colOff>57150</xdr:colOff>
          <xdr:row>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85725</xdr:rowOff>
        </xdr:from>
        <xdr:to>
          <xdr:col>10</xdr:col>
          <xdr:colOff>295275</xdr:colOff>
          <xdr:row>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85725</xdr:rowOff>
        </xdr:from>
        <xdr:to>
          <xdr:col>14</xdr:col>
          <xdr:colOff>361950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1</xdr:row>
          <xdr:rowOff>0</xdr:rowOff>
        </xdr:from>
        <xdr:to>
          <xdr:col>7</xdr:col>
          <xdr:colOff>704850</xdr:colOff>
          <xdr:row>3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</xdr:row>
          <xdr:rowOff>0</xdr:rowOff>
        </xdr:from>
        <xdr:to>
          <xdr:col>8</xdr:col>
          <xdr:colOff>428625</xdr:colOff>
          <xdr:row>4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4</xdr:col>
          <xdr:colOff>180975</xdr:colOff>
          <xdr:row>3</xdr:row>
          <xdr:rowOff>133350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57150</xdr:rowOff>
        </xdr:from>
        <xdr:to>
          <xdr:col>3</xdr:col>
          <xdr:colOff>752475</xdr:colOff>
          <xdr:row>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3" xr16:uid="{682BBBF4-AFBF-4572-804D-18870EB21FA3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_id" tableColumnId="2"/>
      <queryTableField id="3" name="nombre" tableColumnId="3"/>
      <queryTableField id="4" name="referencia_interna" tableColumnId="4"/>
      <queryTableField id="5" name="categoria" tableColumnId="5"/>
      <queryTableField id="6" name="atributo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5" xr16:uid="{19EFAADC-4B54-4C76-8B05-71197D0D09AC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variant_id" tableColumnId="2"/>
      <queryTableField id="3" name="nombre" tableColumnId="3"/>
      <queryTableField id="4" name="referencia_interna" tableColumnId="4"/>
      <queryTableField id="5" name="categoria" tableColumnId="5"/>
      <queryTableField id="6" name="producto_id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connectionId="4" xr16:uid="{52B102D4-3C5C-480F-AC1A-98D011F25E53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proveedor_nombr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A1C38EEB-4AB6-480F-8EEB-3339F7C101DF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categoria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54FC19C-851D-4445-B6FE-299C5A5CE888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ombre_atributo" tableColumnId="2"/>
      <queryTableField id="3" name="valores_atributo" tableColumnId="3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EC7DDF-B8DF-4A80-9388-24CC1A8502E7}" name="Tabla1" displayName="Tabla1" ref="A1:M5" totalsRowShown="0" headerRowDxfId="58" dataDxfId="57">
  <autoFilter ref="A1:M5" xr:uid="{16EC7DDF-B8DF-4A80-9388-24CC1A8502E7}"/>
  <tableColumns count="13">
    <tableColumn id="1" xr3:uid="{A994A4AA-0C07-4F72-A67C-1794F69F8070}" name="Activo" dataDxfId="56">
      <calculatedColumnFormula>IF(Tabla1[[#This Row],[Referencia Interna]]="","","VERDADERO")</calculatedColumnFormula>
    </tableColumn>
    <tableColumn id="2" xr3:uid="{86D03588-B302-4CBB-BBD9-5A96A9B9C287}" name="¿Existe en su Base de Datos?" dataDxfId="55"/>
    <tableColumn id="3" xr3:uid="{09239416-5051-418D-8DAF-07B3020A5158}" name="Referencia Interna" dataDxfId="54"/>
    <tableColumn id="4" xr3:uid="{2DA43CDF-A68E-4987-9064-0E0103D9B09F}" name="Nombre" dataDxfId="53"/>
    <tableColumn id="5" xr3:uid="{BE54E6B8-9BD1-43BB-BE9F-08D4E991D6AF}" name="Categoría del Producto" dataDxfId="52"/>
    <tableColumn id="6" xr3:uid="{2B6B5ECA-CC8E-4936-90A9-89780CEF0FC4}" name="Atributos del producto / Atributo" dataDxfId="51"/>
    <tableColumn id="7" xr3:uid="{BED68AAE-FF74-458F-A138-ABE22053D8F3}" name="Atributos del producto / Valores" dataDxfId="50"/>
    <tableColumn id="8" xr3:uid="{32E14584-5D1C-4E2F-A75F-819C69455B53}" name="Precio de venta" dataDxfId="49">
      <calculatedColumnFormula>IF(Tabla1[[#This Row],[Referencia Interna]]="","",0)</calculatedColumnFormula>
    </tableColumn>
    <tableColumn id="9" xr3:uid="{F4059743-E3FF-4BE1-A165-EBDC9EAC539A}" name="Tipo de producto" dataDxfId="48">
      <calculatedColumnFormula>IF(Tabla1[[#This Row],[Referencia Interna]]="","","Bienes")</calculatedColumnFormula>
    </tableColumn>
    <tableColumn id="10" xr3:uid="{69696317-391F-4A9C-A932-ABC79B367DA3}" name="Impuesto de ventas / ID externo" dataDxfId="47">
      <calculatedColumnFormula>IF(Tabla1[[#This Row],[Precio de venta]]="","","account.1_sale_tax_exo")</calculatedColumnFormula>
    </tableColumn>
    <tableColumn id="11" xr3:uid="{BF59258F-C54C-40F9-BF05-31971EF2AA74}" name="Disponible en PdV" dataDxfId="46">
      <calculatedColumnFormula>IF(Tabla1[[#This Row],[Referencia Interna]]="","","VERDADERO")</calculatedColumnFormula>
    </tableColumn>
    <tableColumn id="12" xr3:uid="{8615B432-2249-4F32-8041-1621057C1897}" name="Compra" dataDxfId="45">
      <calculatedColumnFormula>IF(Tabla1[[#This Row],[Referencia Interna]]="","","VERDADERO")</calculatedColumnFormula>
    </tableColumn>
    <tableColumn id="13" xr3:uid="{BDBFCE7F-ED4C-4F82-A156-6E78D39D99F4}" name="Venta" dataDxfId="44">
      <calculatedColumnFormula>IF(Tabla1[[#This Row],[Referencia Interna]]="","","VERDADERO")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3839E0-06B2-456E-98D9-A004FAAEEE3F}" name="Tabla2" displayName="Tabla2" ref="A1:F9" totalsRowShown="0" headerRowDxfId="43" dataDxfId="42">
  <autoFilter ref="A1:F9" xr:uid="{66991EEC-4A4F-40AD-A51A-83914077D3BA}"/>
  <tableColumns count="6">
    <tableColumn id="1" xr3:uid="{834A0E71-3DD3-4E72-97F6-EA54BB0DF3A8}" name="ID externo" dataDxfId="41"/>
    <tableColumn id="2" xr3:uid="{6B70FBB7-1089-4EAB-AAC0-D3028F647F6A}" name="Nombre" dataDxfId="40"/>
    <tableColumn id="3" xr3:uid="{9958A3FE-4181-480B-AB77-14E42C1B36F3}" name="Exportar Aquí Variantes" dataDxfId="39"/>
    <tableColumn id="6" xr3:uid="{6C135F61-6172-40E3-91C4-C31033112327}" name="Escribir Aquí Refrencia Interna" dataDxfId="38"/>
    <tableColumn id="8" xr3:uid="{4E3E68B7-BDAB-4E88-81F9-54E9B1487257}" name="Referencia interna" dataDxfId="37"/>
    <tableColumn id="7" xr3:uid="{90C981F6-CF32-4189-933C-23853E9BFF6D}" name="Peso" dataDxfId="36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617E01-407F-4F99-9C27-A812CD1630FB}" name="Tabla4" displayName="Tabla4" ref="A1:H9" totalsRowShown="0" headerRowDxfId="35" dataDxfId="34">
  <autoFilter ref="A1:H9" xr:uid="{0F617E01-407F-4F99-9C27-A812CD1630FB}"/>
  <tableColumns count="8">
    <tableColumn id="1" xr3:uid="{D997ABA5-6A10-46BD-96AF-9E62D80AFCBD}" name="Empresa" dataDxfId="33">
      <calculatedColumnFormula>IF(Tabla4[[#This Row],[Proveedor]]="","","Kdosh Store HUANUCO")</calculatedColumnFormula>
    </tableColumn>
    <tableColumn id="2" xr3:uid="{FCB8BEAE-2B6A-475C-AF35-ACD1D8AD38A6}" name="Prioridad" dataDxfId="32">
      <calculatedColumnFormula>IF(Tabla4[[#This Row],[Proveedor]]="","","Normal")</calculatedColumnFormula>
    </tableColumn>
    <tableColumn id="3" xr3:uid="{BE476C9B-A26E-41C4-82D8-B1B5CCD52754}" name="Proveedor" dataDxfId="31"/>
    <tableColumn id="4" xr3:uid="{D42B3196-574F-485A-8B35-86562D3E2B59}" name="Referencia de proveedor" dataDxfId="30"/>
    <tableColumn id="5" xr3:uid="{0D3A67BA-6E73-43A5-91B9-B189BFE9F541}" name="Líneas de la orden / Producto" dataDxfId="29"/>
    <tableColumn id="6" xr3:uid="{D8720807-1D06-45C4-BE33-52EFB6DC0D4D}" name="Líneas de la orden / Precio unitario" dataDxfId="28"/>
    <tableColumn id="7" xr3:uid="{FD682B4D-A465-4BAD-90E8-A85E8D5D4F72}" name="Líneas de la orden / Cantidad" dataDxfId="27"/>
    <tableColumn id="8" xr3:uid="{D55FA6C1-9DC8-40DA-BDD8-88B14918EDC4}" name="Líneas de la orden / Impuestos" dataDxfId="26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71DC41-B0C0-4EF6-B41B-6A839A5612A5}" name="Tabla5" displayName="Tabla5" ref="A1:L3" totalsRowShown="0" headerRowDxfId="25" dataDxfId="24">
  <autoFilter ref="A1:L3" xr:uid="{E571DC41-B0C0-4EF6-B41B-6A839A5612A5}"/>
  <tableColumns count="12">
    <tableColumn id="1" xr3:uid="{00C30250-068C-4C38-8A1D-894986ED4392}" name="Activo" dataDxfId="23">
      <calculatedColumnFormula>IF(Tabla5[[#This Row],[Nombre]]="","","VERDADERO")</calculatedColumnFormula>
    </tableColumn>
    <tableColumn id="2" xr3:uid="{384199E3-8FB6-4C48-BE57-68AB4BD58309}" name="Nombre" dataDxfId="22"/>
    <tableColumn id="3" xr3:uid="{0FF3006B-3BA0-4307-B1BF-CF3BC86E89A3}" name="Referencia interna" dataDxfId="21"/>
    <tableColumn id="4" xr3:uid="{AE65566F-7066-495D-BD1F-5E0B056B777B}" name="Categoría del producto" dataDxfId="20"/>
    <tableColumn id="5" xr3:uid="{BBFF670C-82D2-456B-84BE-6845F9DA1DEA}" name="Atributos del producto / Atributo" dataDxfId="19"/>
    <tableColumn id="6" xr3:uid="{CB544B96-F4F3-4301-B845-B060AB3A2593}" name="Atributos del producto / Valores" dataDxfId="18"/>
    <tableColumn id="7" xr3:uid="{AF1A23C2-7B98-4EC0-8A7E-FC177A90FD59}" name="Precio de venta" dataDxfId="17">
      <calculatedColumnFormula>IF(Tabla5[[#This Row],[Referencia interna]]="","",0)</calculatedColumnFormula>
    </tableColumn>
    <tableColumn id="8" xr3:uid="{729111A0-6953-4F8E-986F-2E8099C13E16}" name="Tipo de producto" dataDxfId="16">
      <calculatedColumnFormula>IF(Tabla5[[#This Row],[Nombre]]="","","Bienes")</calculatedColumnFormula>
    </tableColumn>
    <tableColumn id="9" xr3:uid="{E06648A6-2350-4A28-AFB8-C93179961354}" name="Impuesto de ventas / ID externo" dataDxfId="15">
      <calculatedColumnFormula>IF(Tabla5[[#This Row],[Precio de venta]]="","","account.1_sale_tax_exo")</calculatedColumnFormula>
    </tableColumn>
    <tableColumn id="10" xr3:uid="{24C8E07F-0222-4A59-A0D1-555CD5F2A992}" name="Disponible en PdV" dataDxfId="14">
      <calculatedColumnFormula>IF(Tabla5[[#This Row],[Referencia interna]]="","","VERDADERO")</calculatedColumnFormula>
    </tableColumn>
    <tableColumn id="11" xr3:uid="{41ED80A2-5256-453D-8A35-AD83BE4DBA6D}" name="Compra" dataDxfId="13">
      <calculatedColumnFormula>IF(Tabla5[[#This Row],[Referencia interna]]="","","VERDADERO")</calculatedColumnFormula>
    </tableColumn>
    <tableColumn id="12" xr3:uid="{8B0FF861-ECE8-4931-ACF1-FE31EBCFCF59}" name="Venta" dataDxfId="12">
      <calculatedColumnFormula>IF(Tabla5[[#This Row],[Referencia interna]]="","","VERDADERO")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356D8D-62E0-439A-9D80-671E488E09DF}" name="odoo_bd_productos" displayName="odoo_bd_productos" ref="A1:F7" tableType="queryTable" totalsRowShown="0">
  <autoFilter ref="A1:F7" xr:uid="{A9356D8D-62E0-439A-9D80-671E488E09DF}"/>
  <tableColumns count="6">
    <tableColumn id="1" xr3:uid="{23F72EF5-232D-48C4-A293-603498B7F29E}" uniqueName="1" name="id" queryTableFieldId="1"/>
    <tableColumn id="2" xr3:uid="{6C175F63-D05F-45F4-8757-45D2C99368E5}" uniqueName="2" name="prod_id" queryTableFieldId="2" dataDxfId="11"/>
    <tableColumn id="3" xr3:uid="{0933CB59-EEAE-49E1-A069-340C6798F508}" uniqueName="3" name="nombre" queryTableFieldId="3" dataDxfId="10"/>
    <tableColumn id="4" xr3:uid="{38A1F0CC-A815-4B74-8C4A-A0F3032CD1ED}" uniqueName="4" name="referencia_interna" queryTableFieldId="4" dataDxfId="9"/>
    <tableColumn id="5" xr3:uid="{FF1857B0-C6BF-446C-AC3C-4F2BD4035448}" uniqueName="5" name="categoria" queryTableFieldId="5" dataDxfId="8"/>
    <tableColumn id="6" xr3:uid="{29E472B0-A62C-4EA1-A5AF-A87265C52E66}" uniqueName="6" name="atributos" queryTableFieldId="6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7D10B8-194F-4D06-BBAC-DDACF247CAC2}" name="odoo_bd_variantes" displayName="odoo_bd_variantes" ref="A1:F11" tableType="queryTable" totalsRowShown="0">
  <autoFilter ref="A1:F11" xr:uid="{407D10B8-194F-4D06-BBAC-DDACF247CAC2}"/>
  <tableColumns count="6">
    <tableColumn id="1" xr3:uid="{F3E12BA8-32D8-4986-9744-785B9694F2EA}" uniqueName="1" name="id" queryTableFieldId="1"/>
    <tableColumn id="2" xr3:uid="{F1AC9605-3980-4EE5-BA6E-5B9C6442472F}" uniqueName="2" name="variant_id" queryTableFieldId="2"/>
    <tableColumn id="3" xr3:uid="{E99FDBA9-9551-468E-9C3A-E9DD1A32F3FE}" uniqueName="3" name="nombre" queryTableFieldId="3" dataDxfId="6"/>
    <tableColumn id="4" xr3:uid="{ED604B62-E231-4F9C-85A4-0078652A2F5E}" uniqueName="4" name="referencia_interna" queryTableFieldId="4" dataDxfId="5"/>
    <tableColumn id="5" xr3:uid="{D1413838-B2E2-43C4-A323-A9F3F7A128F1}" uniqueName="5" name="categoria" queryTableFieldId="5" dataDxfId="4"/>
    <tableColumn id="6" xr3:uid="{11F9BCC9-E88E-4FD4-B9DE-865E8874C903}" uniqueName="6" name="producto_id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04D0E37-9CED-4398-9F4C-AAA7B707B72E}" name="odoo_bd_proveedores" displayName="odoo_bd_proveedores" ref="A1:B12" tableType="queryTable" totalsRowShown="0">
  <autoFilter ref="A1:B12" xr:uid="{F04D0E37-9CED-4398-9F4C-AAA7B707B72E}"/>
  <tableColumns count="2">
    <tableColumn id="1" xr3:uid="{D5113057-1623-4AA0-81E6-5F6BA167BC61}" uniqueName="1" name="id" queryTableFieldId="1"/>
    <tableColumn id="2" xr3:uid="{86C0D9B4-FCA5-4E86-8C45-9D7D8AB53C6C}" uniqueName="2" name="proveedor_nombre" queryTableFieldId="2" dataDxf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B4790A-902D-437A-9B7B-0856ABBE549A}" name="odoo_bd_categorias" displayName="odoo_bd_categorias" ref="A1:B31" tableType="queryTable" totalsRowShown="0">
  <autoFilter ref="A1:B31" xr:uid="{02B4790A-902D-437A-9B7B-0856ABBE549A}"/>
  <tableColumns count="2">
    <tableColumn id="1" xr3:uid="{9A22D193-1AA2-4D02-878F-ED86A7915F14}" uniqueName="1" name="id" queryTableFieldId="1"/>
    <tableColumn id="2" xr3:uid="{7CB74263-F445-4EF2-8A44-141B09089F7C}" uniqueName="2" name="categoria" queryTableFieldId="2" dataDxfId="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5EACC3-AE9B-4AED-84F9-8A6917E6FAB9}" name="odoo_bd_atributos" displayName="odoo_bd_atributos" ref="A1:C3" tableType="queryTable" totalsRowShown="0">
  <autoFilter ref="A1:C3" xr:uid="{085EACC3-AE9B-4AED-84F9-8A6917E6FAB9}"/>
  <tableColumns count="3">
    <tableColumn id="1" xr3:uid="{B03F87C0-6892-47E4-AA5E-2308CA4CC83D}" uniqueName="1" name="id" queryTableFieldId="1"/>
    <tableColumn id="2" xr3:uid="{C3352A7B-44DB-4770-82CD-481E997433C4}" uniqueName="2" name="nombre_atributo" queryTableFieldId="2" dataDxfId="1"/>
    <tableColumn id="3" xr3:uid="{E27480BC-6510-4831-8933-262D8066CDD6}" uniqueName="3" name="valores_atributo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5"/>
  <sheetViews>
    <sheetView tabSelected="1" topLeftCell="F1" zoomScale="85" zoomScaleNormal="85" workbookViewId="0">
      <selection activeCell="R11" sqref="R11"/>
    </sheetView>
  </sheetViews>
  <sheetFormatPr baseColWidth="10" defaultColWidth="9.140625" defaultRowHeight="15" x14ac:dyDescent="0.25"/>
  <cols>
    <col min="1" max="1" width="19.85546875" style="1" hidden="1" customWidth="1"/>
    <col min="2" max="2" width="31.28515625" style="1" bestFit="1" customWidth="1"/>
    <col min="3" max="3" width="22.140625" style="1" bestFit="1" customWidth="1"/>
    <col min="4" max="4" width="39.85546875" style="1" bestFit="1" customWidth="1"/>
    <col min="5" max="5" width="34.85546875" style="1" bestFit="1" customWidth="1"/>
    <col min="6" max="6" width="35.140625" style="1" bestFit="1" customWidth="1"/>
    <col min="7" max="7" width="48.5703125" style="1" bestFit="1" customWidth="1"/>
    <col min="8" max="8" width="19.28515625" style="1" bestFit="1" customWidth="1"/>
    <col min="9" max="9" width="20.7109375" style="1" hidden="1" customWidth="1"/>
    <col min="10" max="10" width="34.42578125" style="1" hidden="1" customWidth="1"/>
    <col min="11" max="11" width="22" style="1" hidden="1" customWidth="1"/>
    <col min="12" max="12" width="12.85546875" style="1" hidden="1" customWidth="1"/>
    <col min="13" max="13" width="11.85546875" style="1" hidden="1" customWidth="1"/>
  </cols>
  <sheetData>
    <row r="1" spans="1:13" x14ac:dyDescent="0.25">
      <c r="A1" s="1" t="s">
        <v>4</v>
      </c>
      <c r="B1" s="1" t="s">
        <v>5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6</v>
      </c>
      <c r="H1" s="1" t="s">
        <v>7</v>
      </c>
      <c r="I1" s="1" t="s">
        <v>9</v>
      </c>
      <c r="J1" s="1" t="s">
        <v>13</v>
      </c>
      <c r="K1" s="1" t="s">
        <v>8</v>
      </c>
      <c r="L1" s="1" t="s">
        <v>10</v>
      </c>
      <c r="M1" s="1" t="s">
        <v>11</v>
      </c>
    </row>
    <row r="2" spans="1:13" x14ac:dyDescent="0.25">
      <c r="A2" s="1" t="str">
        <f>IF(Tabla1[[#This Row],[Referencia Interna]]="","","VERDADERO")</f>
        <v>VERDADERO</v>
      </c>
      <c r="B2" s="4" t="s">
        <v>89</v>
      </c>
      <c r="C2" s="1" t="s">
        <v>90</v>
      </c>
      <c r="D2" s="1" t="s">
        <v>91</v>
      </c>
      <c r="E2" s="1" t="s">
        <v>12</v>
      </c>
      <c r="F2" s="1" t="s">
        <v>16</v>
      </c>
      <c r="G2" s="1" t="s">
        <v>99</v>
      </c>
      <c r="H2" s="1">
        <f>IF(Tabla1[[#This Row],[Referencia Interna]]="","",0)</f>
        <v>0</v>
      </c>
      <c r="I2" s="1" t="str">
        <f>IF(Tabla1[[#This Row],[Referencia Interna]]="","","Bienes")</f>
        <v>Bienes</v>
      </c>
      <c r="J2" s="1" t="str">
        <f>IF(Tabla1[[#This Row],[Precio de venta]]="","","account.1_sale_tax_exo")</f>
        <v>account.1_sale_tax_exo</v>
      </c>
      <c r="K2" s="1" t="str">
        <f>IF(Tabla1[[#This Row],[Referencia Interna]]="","","VERDADERO")</f>
        <v>VERDADERO</v>
      </c>
      <c r="L2" s="1" t="str">
        <f>IF(Tabla1[[#This Row],[Referencia Interna]]="","","VERDADERO")</f>
        <v>VERDADERO</v>
      </c>
      <c r="M2" s="1" t="str">
        <f>IF(Tabla1[[#This Row],[Referencia Interna]]="","","VERDADERO")</f>
        <v>VERDADERO</v>
      </c>
    </row>
    <row r="3" spans="1:13" x14ac:dyDescent="0.25">
      <c r="A3" s="1" t="str">
        <f>IF(Tabla1[[#This Row],[Referencia Interna]]="","","VERDADERO")</f>
        <v>VERDADERO</v>
      </c>
      <c r="B3" s="4" t="s">
        <v>89</v>
      </c>
      <c r="C3" s="1" t="s">
        <v>92</v>
      </c>
      <c r="D3" s="1" t="s">
        <v>93</v>
      </c>
      <c r="E3" s="1" t="s">
        <v>12</v>
      </c>
      <c r="F3" s="1" t="s">
        <v>16</v>
      </c>
      <c r="G3" s="1" t="s">
        <v>98</v>
      </c>
      <c r="H3" s="1">
        <f>IF(Tabla1[[#This Row],[Referencia Interna]]="","",0)</f>
        <v>0</v>
      </c>
      <c r="I3" s="1" t="str">
        <f>IF(Tabla1[[#This Row],[Referencia Interna]]="","","Bienes")</f>
        <v>Bienes</v>
      </c>
      <c r="J3" s="1" t="str">
        <f>IF(Tabla1[[#This Row],[Precio de venta]]="","","account.1_sale_tax_exo")</f>
        <v>account.1_sale_tax_exo</v>
      </c>
      <c r="K3" s="1" t="str">
        <f>IF(Tabla1[[#This Row],[Referencia Interna]]="","","VERDADERO")</f>
        <v>VERDADERO</v>
      </c>
      <c r="L3" s="1" t="str">
        <f>IF(Tabla1[[#This Row],[Referencia Interna]]="","","VERDADERO")</f>
        <v>VERDADERO</v>
      </c>
      <c r="M3" s="1" t="str">
        <f>IF(Tabla1[[#This Row],[Referencia Interna]]="","","VERDADERO")</f>
        <v>VERDADERO</v>
      </c>
    </row>
    <row r="4" spans="1:13" x14ac:dyDescent="0.25">
      <c r="A4" s="1" t="str">
        <f>IF(Tabla1[[#This Row],[Referencia Interna]]="","","VERDADERO")</f>
        <v>VERDADERO</v>
      </c>
      <c r="B4" s="4" t="s">
        <v>89</v>
      </c>
      <c r="C4" s="1" t="s">
        <v>94</v>
      </c>
      <c r="D4" s="1" t="s">
        <v>95</v>
      </c>
      <c r="E4" s="1" t="s">
        <v>70</v>
      </c>
      <c r="F4" s="1" t="s">
        <v>16</v>
      </c>
      <c r="G4" s="1" t="s">
        <v>99</v>
      </c>
      <c r="H4" s="1">
        <f>IF(Tabla1[[#This Row],[Referencia Interna]]="","",0)</f>
        <v>0</v>
      </c>
      <c r="I4" s="1" t="str">
        <f>IF(Tabla1[[#This Row],[Referencia Interna]]="","","Bienes")</f>
        <v>Bienes</v>
      </c>
      <c r="J4" s="1" t="str">
        <f>IF(Tabla1[[#This Row],[Precio de venta]]="","","account.1_sale_tax_exo")</f>
        <v>account.1_sale_tax_exo</v>
      </c>
      <c r="K4" s="1" t="str">
        <f>IF(Tabla1[[#This Row],[Referencia Interna]]="","","VERDADERO")</f>
        <v>VERDADERO</v>
      </c>
      <c r="L4" s="1" t="str">
        <f>IF(Tabla1[[#This Row],[Referencia Interna]]="","","VERDADERO")</f>
        <v>VERDADERO</v>
      </c>
      <c r="M4" s="1" t="str">
        <f>IF(Tabla1[[#This Row],[Referencia Interna]]="","","VERDADERO")</f>
        <v>VERDADERO</v>
      </c>
    </row>
    <row r="5" spans="1:13" x14ac:dyDescent="0.25">
      <c r="A5" s="1" t="str">
        <f>IF(Tabla1[[#This Row],[Referencia Interna]]="","","VERDADERO")</f>
        <v>VERDADERO</v>
      </c>
      <c r="B5" s="4" t="s">
        <v>89</v>
      </c>
      <c r="C5" s="1" t="s">
        <v>96</v>
      </c>
      <c r="D5" s="1" t="s">
        <v>97</v>
      </c>
      <c r="E5" s="1" t="s">
        <v>70</v>
      </c>
      <c r="F5" s="1" t="s">
        <v>16</v>
      </c>
      <c r="G5" s="1" t="s">
        <v>100</v>
      </c>
      <c r="H5" s="1">
        <f>IF(Tabla1[[#This Row],[Referencia Interna]]="","",0)</f>
        <v>0</v>
      </c>
      <c r="I5" s="1" t="str">
        <f>IF(Tabla1[[#This Row],[Referencia Interna]]="","","Bienes")</f>
        <v>Bienes</v>
      </c>
      <c r="J5" s="1" t="str">
        <f>IF(Tabla1[[#This Row],[Precio de venta]]="","","account.1_sale_tax_exo")</f>
        <v>account.1_sale_tax_exo</v>
      </c>
      <c r="K5" s="1" t="str">
        <f>IF(Tabla1[[#This Row],[Referencia Interna]]="","","VERDADERO")</f>
        <v>VERDADERO</v>
      </c>
      <c r="L5" s="1" t="str">
        <f>IF(Tabla1[[#This Row],[Referencia Interna]]="","","VERDADERO")</f>
        <v>VERDADERO</v>
      </c>
      <c r="M5" s="1" t="str">
        <f>IF(Tabla1[[#This Row],[Referencia Interna]]="","","VERDADERO")</f>
        <v>VERDADERO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14</xdr:col>
                <xdr:colOff>9525</xdr:colOff>
                <xdr:row>0</xdr:row>
                <xdr:rowOff>180975</xdr:rowOff>
              </from>
              <to>
                <xdr:col>15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Button 2">
          <controlPr defaultSize="0" print="0" autoFill="0" autoPict="0" macro="[0]!Botón4_Haga_clic_en">
            <anchor moveWithCells="1" sizeWithCells="1">
              <from>
                <xdr:col>15</xdr:col>
                <xdr:colOff>590550</xdr:colOff>
                <xdr:row>0</xdr:row>
                <xdr:rowOff>161925</xdr:rowOff>
              </from>
              <to>
                <xdr:col>17</xdr:col>
                <xdr:colOff>409575</xdr:colOff>
                <xdr:row>2</xdr:row>
                <xdr:rowOff>152400</xdr:rowOff>
              </to>
            </anchor>
          </controlPr>
        </control>
      </mc:Choice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01BFEC-9402-480F-AF62-E1402087AF40}">
          <x14:formula1>
            <xm:f>'Base de Datos Atributos'!$B:$B</xm:f>
          </x14:formula1>
          <xm:sqref>F2:F5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FA74-1CD2-4131-88FC-A92188A1A054}">
  <sheetPr codeName="Hoja2"/>
  <dimension ref="A1:F9"/>
  <sheetViews>
    <sheetView zoomScale="85" zoomScaleNormal="85" workbookViewId="0">
      <selection activeCell="G10" sqref="G10"/>
    </sheetView>
  </sheetViews>
  <sheetFormatPr baseColWidth="10" defaultRowHeight="15" x14ac:dyDescent="0.25"/>
  <cols>
    <col min="1" max="2" width="39.85546875" style="1" bestFit="1" customWidth="1"/>
    <col min="3" max="3" width="26.7109375" style="1" bestFit="1" customWidth="1"/>
    <col min="4" max="4" width="32.7109375" style="1" bestFit="1" customWidth="1"/>
    <col min="5" max="5" width="22.140625" style="1" bestFit="1" customWidth="1"/>
    <col min="6" max="6" width="9.85546875" style="1" bestFit="1" customWidth="1"/>
  </cols>
  <sheetData>
    <row r="1" spans="1:6" x14ac:dyDescent="0.25">
      <c r="A1" s="3" t="s">
        <v>21</v>
      </c>
      <c r="B1" s="3" t="s">
        <v>1</v>
      </c>
      <c r="C1" s="3" t="s">
        <v>20</v>
      </c>
      <c r="D1" s="2" t="s">
        <v>19</v>
      </c>
      <c r="E1" s="1" t="s">
        <v>18</v>
      </c>
      <c r="F1" s="1" t="s">
        <v>17</v>
      </c>
    </row>
    <row r="2" spans="1:6" x14ac:dyDescent="0.25">
      <c r="A2" s="1" t="s">
        <v>101</v>
      </c>
      <c r="B2" s="1" t="s">
        <v>97</v>
      </c>
      <c r="C2" s="1" t="s">
        <v>102</v>
      </c>
      <c r="D2" s="1" t="s">
        <v>96</v>
      </c>
      <c r="E2" s="1" t="s">
        <v>105</v>
      </c>
      <c r="F2" s="1">
        <v>0.26540000000000002</v>
      </c>
    </row>
    <row r="3" spans="1:6" x14ac:dyDescent="0.25">
      <c r="A3" s="1" t="s">
        <v>103</v>
      </c>
      <c r="B3" s="1" t="s">
        <v>97</v>
      </c>
      <c r="C3" s="1" t="s">
        <v>104</v>
      </c>
      <c r="D3" s="1" t="s">
        <v>96</v>
      </c>
      <c r="E3" s="1" t="s">
        <v>106</v>
      </c>
      <c r="F3" s="1">
        <v>0.24579999999999999</v>
      </c>
    </row>
    <row r="4" spans="1:6" x14ac:dyDescent="0.25">
      <c r="A4" s="1" t="s">
        <v>107</v>
      </c>
      <c r="B4" s="1" t="s">
        <v>93</v>
      </c>
      <c r="C4" s="1" t="s">
        <v>108</v>
      </c>
      <c r="D4" s="1" t="s">
        <v>92</v>
      </c>
      <c r="E4" s="1" t="s">
        <v>111</v>
      </c>
      <c r="F4" s="1">
        <v>0.22620000000000001</v>
      </c>
    </row>
    <row r="5" spans="1:6" x14ac:dyDescent="0.25">
      <c r="A5" s="1" t="s">
        <v>109</v>
      </c>
      <c r="B5" s="1" t="s">
        <v>93</v>
      </c>
      <c r="C5" s="1" t="s">
        <v>110</v>
      </c>
      <c r="D5" s="1" t="s">
        <v>92</v>
      </c>
      <c r="E5" s="1" t="s">
        <v>112</v>
      </c>
      <c r="F5" s="1">
        <v>0.20660000000000001</v>
      </c>
    </row>
    <row r="6" spans="1:6" x14ac:dyDescent="0.25">
      <c r="A6" s="1" t="s">
        <v>113</v>
      </c>
      <c r="B6" s="1" t="s">
        <v>95</v>
      </c>
      <c r="C6" s="1" t="s">
        <v>110</v>
      </c>
      <c r="D6" s="1" t="s">
        <v>94</v>
      </c>
      <c r="E6" s="1" t="s">
        <v>116</v>
      </c>
      <c r="F6" s="1">
        <v>0.187</v>
      </c>
    </row>
    <row r="7" spans="1:6" x14ac:dyDescent="0.25">
      <c r="A7" s="1" t="s">
        <v>114</v>
      </c>
      <c r="B7" s="1" t="s">
        <v>95</v>
      </c>
      <c r="C7" s="1" t="s">
        <v>115</v>
      </c>
      <c r="D7" s="1" t="s">
        <v>94</v>
      </c>
      <c r="E7" s="1" t="s">
        <v>117</v>
      </c>
      <c r="F7" s="1">
        <v>0.16739999999999999</v>
      </c>
    </row>
    <row r="8" spans="1:6" x14ac:dyDescent="0.25">
      <c r="A8" s="1" t="s">
        <v>118</v>
      </c>
      <c r="B8" s="1" t="s">
        <v>91</v>
      </c>
      <c r="C8" s="1" t="s">
        <v>115</v>
      </c>
      <c r="D8" s="1" t="s">
        <v>90</v>
      </c>
      <c r="E8" s="1" t="s">
        <v>120</v>
      </c>
      <c r="F8" s="1">
        <v>0.14779999999999999</v>
      </c>
    </row>
    <row r="9" spans="1:6" x14ac:dyDescent="0.25">
      <c r="A9" s="1" t="s">
        <v>119</v>
      </c>
      <c r="B9" s="1" t="s">
        <v>91</v>
      </c>
      <c r="C9" s="1" t="s">
        <v>108</v>
      </c>
      <c r="D9" s="1" t="s">
        <v>90</v>
      </c>
      <c r="E9" s="1" t="s">
        <v>121</v>
      </c>
      <c r="F9" s="1">
        <v>0.12820000000000001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ón4_Haga_clic_en">
                <anchor moveWithCells="1" sizeWithCells="1">
                  <from>
                    <xdr:col>7</xdr:col>
                    <xdr:colOff>28575</xdr:colOff>
                    <xdr:row>0</xdr:row>
                    <xdr:rowOff>95250</xdr:rowOff>
                  </from>
                  <to>
                    <xdr:col>8</xdr:col>
                    <xdr:colOff>304800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91A5-F4CF-45AF-A300-AEFEF9F45D4C}">
  <sheetPr codeName="Hoja3"/>
  <dimension ref="A1:J9"/>
  <sheetViews>
    <sheetView topLeftCell="C1" zoomScale="85" zoomScaleNormal="85" workbookViewId="0">
      <selection activeCell="F10" sqref="F10"/>
    </sheetView>
  </sheetViews>
  <sheetFormatPr baseColWidth="10" defaultRowHeight="15" x14ac:dyDescent="0.25"/>
  <cols>
    <col min="1" max="1" width="13.7109375" hidden="1" customWidth="1"/>
    <col min="2" max="2" width="13.85546875" hidden="1" customWidth="1"/>
    <col min="3" max="3" width="15" bestFit="1" customWidth="1"/>
    <col min="4" max="4" width="27.85546875" bestFit="1" customWidth="1"/>
    <col min="5" max="5" width="73.7109375" bestFit="1" customWidth="1"/>
    <col min="6" max="6" width="36.85546875" bestFit="1" customWidth="1"/>
    <col min="7" max="7" width="31.5703125" bestFit="1" customWidth="1"/>
    <col min="8" max="8" width="33" hidden="1" customWidth="1"/>
    <col min="11" max="11" width="59.5703125" bestFit="1" customWidth="1"/>
  </cols>
  <sheetData>
    <row r="1" spans="1:10" x14ac:dyDescent="0.25">
      <c r="A1" s="1" t="s">
        <v>27</v>
      </c>
      <c r="B1" s="1" t="s">
        <v>28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29</v>
      </c>
    </row>
    <row r="2" spans="1:10" x14ac:dyDescent="0.25">
      <c r="A2" s="1" t="str">
        <f>IF(Tabla4[[#This Row],[Proveedor]]="","","Kdosh Store HUANUCO")</f>
        <v>Kdosh Store HUANUCO</v>
      </c>
      <c r="B2" s="1" t="str">
        <f>IF(Tabla4[[#This Row],[Proveedor]]="","","Normal")</f>
        <v>Normal</v>
      </c>
      <c r="C2" s="1" t="s">
        <v>46</v>
      </c>
      <c r="D2" s="1" t="s">
        <v>132</v>
      </c>
      <c r="E2" s="1" t="s">
        <v>123</v>
      </c>
      <c r="F2" s="1">
        <v>32</v>
      </c>
      <c r="G2" s="1">
        <v>12</v>
      </c>
      <c r="H2" s="1"/>
    </row>
    <row r="3" spans="1:10" x14ac:dyDescent="0.25">
      <c r="A3" s="1" t="str">
        <f>IF(Tabla4[[#This Row],[Proveedor]]="","","Kdosh Store HUANUCO")</f>
        <v/>
      </c>
      <c r="B3" s="1" t="str">
        <f>IF(Tabla4[[#This Row],[Proveedor]]="","","Normal")</f>
        <v/>
      </c>
      <c r="C3" s="1"/>
      <c r="D3" s="1"/>
      <c r="E3" s="1" t="s">
        <v>124</v>
      </c>
      <c r="F3" s="1">
        <v>32</v>
      </c>
      <c r="G3" s="1">
        <v>12</v>
      </c>
      <c r="H3" s="1"/>
    </row>
    <row r="4" spans="1:10" x14ac:dyDescent="0.25">
      <c r="A4" s="1" t="str">
        <f>IF(Tabla4[[#This Row],[Proveedor]]="","","Kdosh Store HUANUCO")</f>
        <v/>
      </c>
      <c r="B4" s="1" t="str">
        <f>IF(Tabla4[[#This Row],[Proveedor]]="","","Normal")</f>
        <v/>
      </c>
      <c r="C4" s="1"/>
      <c r="D4" s="1"/>
      <c r="E4" s="1" t="s">
        <v>125</v>
      </c>
      <c r="F4" s="1">
        <v>40</v>
      </c>
      <c r="G4" s="1">
        <v>6</v>
      </c>
      <c r="H4" s="1"/>
    </row>
    <row r="5" spans="1:10" x14ac:dyDescent="0.25">
      <c r="A5" s="1" t="str">
        <f>IF(Tabla4[[#This Row],[Proveedor]]="","","Kdosh Store HUANUCO")</f>
        <v/>
      </c>
      <c r="B5" s="1" t="str">
        <f>IF(Tabla4[[#This Row],[Proveedor]]="","","Normal")</f>
        <v/>
      </c>
      <c r="C5" s="1"/>
      <c r="D5" s="1"/>
      <c r="E5" s="1" t="s">
        <v>126</v>
      </c>
      <c r="F5" s="1">
        <v>40</v>
      </c>
      <c r="G5" s="1">
        <v>6</v>
      </c>
      <c r="H5" s="1"/>
    </row>
    <row r="6" spans="1:10" x14ac:dyDescent="0.25">
      <c r="A6" s="1" t="str">
        <f>IF(Tabla4[[#This Row],[Proveedor]]="","","Kdosh Store HUANUCO")</f>
        <v/>
      </c>
      <c r="B6" s="1" t="str">
        <f>IF(Tabla4[[#This Row],[Proveedor]]="","","Normal")</f>
        <v/>
      </c>
      <c r="C6" s="1"/>
      <c r="D6" s="1"/>
      <c r="E6" s="1" t="s">
        <v>127</v>
      </c>
      <c r="F6" s="1">
        <v>68</v>
      </c>
      <c r="G6" s="1">
        <v>6</v>
      </c>
      <c r="H6" s="1"/>
    </row>
    <row r="7" spans="1:10" x14ac:dyDescent="0.25">
      <c r="A7" s="1" t="str">
        <f>IF(Tabla4[[#This Row],[Proveedor]]="","","Kdosh Store HUANUCO")</f>
        <v/>
      </c>
      <c r="B7" s="1" t="str">
        <f>IF(Tabla4[[#This Row],[Proveedor]]="","","Normal")</f>
        <v/>
      </c>
      <c r="C7" s="1"/>
      <c r="D7" s="1"/>
      <c r="E7" s="1" t="s">
        <v>128</v>
      </c>
      <c r="F7" s="1">
        <v>68</v>
      </c>
      <c r="G7" s="1">
        <v>6</v>
      </c>
      <c r="H7" s="1"/>
      <c r="J7" t="s">
        <v>122</v>
      </c>
    </row>
    <row r="8" spans="1:10" x14ac:dyDescent="0.25">
      <c r="A8" s="1" t="str">
        <f>IF(Tabla4[[#This Row],[Proveedor]]="","","Kdosh Store HUANUCO")</f>
        <v/>
      </c>
      <c r="B8" s="1" t="str">
        <f>IF(Tabla4[[#This Row],[Proveedor]]="","","Normal")</f>
        <v/>
      </c>
      <c r="C8" s="1"/>
      <c r="D8" s="1"/>
      <c r="E8" s="1" t="s">
        <v>130</v>
      </c>
      <c r="F8" s="1">
        <v>58</v>
      </c>
      <c r="G8" s="1">
        <v>20</v>
      </c>
      <c r="H8" s="1"/>
      <c r="J8" t="s">
        <v>129</v>
      </c>
    </row>
    <row r="9" spans="1:10" x14ac:dyDescent="0.25">
      <c r="A9" s="1" t="str">
        <f>IF(Tabla4[[#This Row],[Proveedor]]="","","Kdosh Store HUANUCO")</f>
        <v/>
      </c>
      <c r="B9" s="1" t="str">
        <f>IF(Tabla4[[#This Row],[Proveedor]]="","","Normal")</f>
        <v/>
      </c>
      <c r="C9" s="1"/>
      <c r="D9" s="1"/>
      <c r="E9" s="1" t="s">
        <v>131</v>
      </c>
      <c r="F9" s="1">
        <v>58</v>
      </c>
      <c r="G9" s="1">
        <v>20</v>
      </c>
      <c r="H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oja3.ListaEnColumna">
                <anchor moveWithCells="1" sizeWithCells="1">
                  <from>
                    <xdr:col>9</xdr:col>
                    <xdr:colOff>19050</xdr:colOff>
                    <xdr:row>8</xdr:row>
                    <xdr:rowOff>66675</xdr:rowOff>
                  </from>
                  <to>
                    <xdr:col>10</xdr:col>
                    <xdr:colOff>57150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ón4_Haga_clic_en">
                <anchor moveWithCells="1" sizeWithCells="1">
                  <from>
                    <xdr:col>9</xdr:col>
                    <xdr:colOff>19050</xdr:colOff>
                    <xdr:row>0</xdr:row>
                    <xdr:rowOff>85725</xdr:rowOff>
                  </from>
                  <to>
                    <xdr:col>10</xdr:col>
                    <xdr:colOff>295275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694089-75FD-4CE6-B1B8-103A40756E76}">
          <x14:formula1>
            <xm:f>'Base de Datos Proveedores'!$B:$B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5ABD0-0F8E-4201-BFC6-836AEC1111F8}">
  <sheetPr codeName="Hoja4"/>
  <dimension ref="A1:L3"/>
  <sheetViews>
    <sheetView topLeftCell="B1" zoomScale="85" zoomScaleNormal="85" workbookViewId="0">
      <selection activeCell="G6" sqref="G6"/>
    </sheetView>
  </sheetViews>
  <sheetFormatPr baseColWidth="10" defaultRowHeight="15" x14ac:dyDescent="0.25"/>
  <cols>
    <col min="1" max="1" width="11.140625" style="1" hidden="1" customWidth="1"/>
    <col min="2" max="2" width="19.85546875" style="1" bestFit="1" customWidth="1"/>
    <col min="3" max="3" width="22.140625" style="1" bestFit="1" customWidth="1"/>
    <col min="4" max="4" width="26" style="1" bestFit="1" customWidth="1"/>
    <col min="5" max="5" width="35.140625" style="1" bestFit="1" customWidth="1"/>
    <col min="6" max="6" width="34.42578125" style="1" bestFit="1" customWidth="1"/>
    <col min="7" max="7" width="19.28515625" style="1" bestFit="1" customWidth="1"/>
    <col min="8" max="8" width="20.7109375" style="1" hidden="1" customWidth="1"/>
    <col min="9" max="9" width="34.42578125" style="1" hidden="1" customWidth="1"/>
    <col min="10" max="10" width="22" style="1" hidden="1" customWidth="1"/>
    <col min="11" max="11" width="21.7109375" style="1" hidden="1" customWidth="1"/>
    <col min="12" max="12" width="20.7109375" style="1" hidden="1" customWidth="1"/>
  </cols>
  <sheetData>
    <row r="1" spans="1:12" x14ac:dyDescent="0.25">
      <c r="A1" s="1" t="s">
        <v>4</v>
      </c>
      <c r="B1" s="1" t="s">
        <v>1</v>
      </c>
      <c r="C1" s="1" t="s">
        <v>18</v>
      </c>
      <c r="D1" s="1" t="s">
        <v>30</v>
      </c>
      <c r="E1" s="1" t="s">
        <v>3</v>
      </c>
      <c r="F1" s="1" t="s">
        <v>6</v>
      </c>
      <c r="G1" s="1" t="s">
        <v>7</v>
      </c>
      <c r="H1" s="1" t="s">
        <v>9</v>
      </c>
      <c r="I1" s="1" t="s">
        <v>13</v>
      </c>
      <c r="J1" s="1" t="s">
        <v>8</v>
      </c>
      <c r="K1" s="1" t="s">
        <v>10</v>
      </c>
      <c r="L1" s="1" t="s">
        <v>11</v>
      </c>
    </row>
    <row r="2" spans="1:12" x14ac:dyDescent="0.25">
      <c r="A2" s="1" t="str">
        <f>IF(Tabla5[[#This Row],[Nombre]]="","","VERDADERO")</f>
        <v>VERDADERO</v>
      </c>
      <c r="B2" s="1" t="s">
        <v>31</v>
      </c>
      <c r="C2" s="1">
        <v>897</v>
      </c>
      <c r="D2" s="1" t="s">
        <v>32</v>
      </c>
      <c r="E2" s="1" t="s">
        <v>16</v>
      </c>
      <c r="F2" s="1" t="s">
        <v>33</v>
      </c>
      <c r="G2" s="1">
        <f>IF(Tabla5[[#This Row],[Referencia interna]]="","",0)</f>
        <v>0</v>
      </c>
      <c r="H2" s="1" t="str">
        <f>IF(Tabla5[[#This Row],[Nombre]]="","","Bienes")</f>
        <v>Bienes</v>
      </c>
      <c r="I2" s="1" t="str">
        <f>IF(Tabla5[[#This Row],[Precio de venta]]="","","account.1_sale_tax_exo")</f>
        <v>account.1_sale_tax_exo</v>
      </c>
      <c r="J2" s="1" t="str">
        <f>IF(Tabla5[[#This Row],[Referencia interna]]="","","VERDADERO")</f>
        <v>VERDADERO</v>
      </c>
      <c r="K2" s="1" t="str">
        <f>IF(Tabla5[[#This Row],[Referencia interna]]="","","VERDADERO")</f>
        <v>VERDADERO</v>
      </c>
      <c r="L2" s="1" t="str">
        <f>IF(Tabla5[[#This Row],[Referencia interna]]="","","VERDADERO")</f>
        <v>VERDADERO</v>
      </c>
    </row>
    <row r="3" spans="1:12" x14ac:dyDescent="0.25">
      <c r="A3" s="1" t="str">
        <f>IF(Tabla5[[#This Row],[Nombre]]="","","VERDADERO")</f>
        <v/>
      </c>
      <c r="E3" s="1" t="s">
        <v>14</v>
      </c>
      <c r="F3" s="1" t="s">
        <v>15</v>
      </c>
      <c r="G3" s="1" t="str">
        <f>IF(Tabla5[[#This Row],[Referencia interna]]="","",0)</f>
        <v/>
      </c>
      <c r="H3" s="1" t="str">
        <f>IF(Tabla5[[#This Row],[Nombre]]="","","Bienes")</f>
        <v/>
      </c>
      <c r="I3" s="1" t="str">
        <f>IF(Tabla5[[#This Row],[Precio de venta]]="","","account.1_sale_tax_exo")</f>
        <v/>
      </c>
      <c r="J3" s="1" t="str">
        <f>IF(Tabla5[[#This Row],[Referencia interna]]="","","VERDADERO")</f>
        <v/>
      </c>
      <c r="K3" s="1" t="str">
        <f>IF(Tabla5[[#This Row],[Referencia interna]]="","","VERDADERO")</f>
        <v/>
      </c>
      <c r="L3" s="1" t="str">
        <f>IF(Tabla5[[#This Row],[Referencia interna]]="","","VERDADERO")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tón4_Haga_clic_en">
                <anchor moveWithCells="1" sizeWithCells="1">
                  <from>
                    <xdr:col>13</xdr:col>
                    <xdr:colOff>85725</xdr:colOff>
                    <xdr:row>1</xdr:row>
                    <xdr:rowOff>85725</xdr:rowOff>
                  </from>
                  <to>
                    <xdr:col>14</xdr:col>
                    <xdr:colOff>361950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A8ACF-EF7A-4BD8-978C-54F3DD746E74}">
  <sheetPr codeName="Hoja9"/>
  <dimension ref="A1:F7"/>
  <sheetViews>
    <sheetView workbookViewId="0">
      <selection activeCell="F24" sqref="F24"/>
    </sheetView>
  </sheetViews>
  <sheetFormatPr baseColWidth="10" defaultRowHeight="15" x14ac:dyDescent="0.25"/>
  <cols>
    <col min="1" max="1" width="5" bestFit="1" customWidth="1"/>
    <col min="2" max="2" width="10.140625" bestFit="1" customWidth="1"/>
    <col min="3" max="3" width="39.5703125" bestFit="1" customWidth="1"/>
    <col min="4" max="4" width="20" bestFit="1" customWidth="1"/>
    <col min="5" max="5" width="25.7109375" bestFit="1" customWidth="1"/>
    <col min="6" max="6" width="22" bestFit="1" customWidth="1"/>
  </cols>
  <sheetData>
    <row r="1" spans="1: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  <row r="2" spans="1:6" x14ac:dyDescent="0.25">
      <c r="A2">
        <v>1</v>
      </c>
      <c r="B2" t="s">
        <v>75</v>
      </c>
      <c r="C2" t="s">
        <v>76</v>
      </c>
      <c r="D2" t="s">
        <v>40</v>
      </c>
      <c r="E2" t="s">
        <v>32</v>
      </c>
      <c r="F2" t="s">
        <v>42</v>
      </c>
    </row>
    <row r="3" spans="1:6" x14ac:dyDescent="0.25">
      <c r="A3">
        <v>2</v>
      </c>
      <c r="B3" t="s">
        <v>133</v>
      </c>
      <c r="C3" t="s">
        <v>97</v>
      </c>
      <c r="D3" t="s">
        <v>40</v>
      </c>
      <c r="E3" t="s">
        <v>70</v>
      </c>
      <c r="F3" t="s">
        <v>134</v>
      </c>
    </row>
    <row r="4" spans="1:6" x14ac:dyDescent="0.25">
      <c r="A4">
        <v>3</v>
      </c>
      <c r="B4" t="s">
        <v>135</v>
      </c>
      <c r="C4" t="s">
        <v>93</v>
      </c>
      <c r="D4" t="s">
        <v>40</v>
      </c>
      <c r="E4" t="s">
        <v>12</v>
      </c>
      <c r="F4" t="s">
        <v>136</v>
      </c>
    </row>
    <row r="5" spans="1:6" x14ac:dyDescent="0.25">
      <c r="A5">
        <v>4</v>
      </c>
      <c r="B5" t="s">
        <v>137</v>
      </c>
      <c r="C5" t="s">
        <v>95</v>
      </c>
      <c r="D5" t="s">
        <v>40</v>
      </c>
      <c r="E5" t="s">
        <v>70</v>
      </c>
      <c r="F5" t="s">
        <v>138</v>
      </c>
    </row>
    <row r="6" spans="1:6" x14ac:dyDescent="0.25">
      <c r="A6">
        <v>5</v>
      </c>
      <c r="B6" t="s">
        <v>139</v>
      </c>
      <c r="C6" t="s">
        <v>91</v>
      </c>
      <c r="D6" t="s">
        <v>40</v>
      </c>
      <c r="E6" t="s">
        <v>12</v>
      </c>
      <c r="F6" t="s">
        <v>140</v>
      </c>
    </row>
    <row r="7" spans="1:6" x14ac:dyDescent="0.25">
      <c r="A7">
        <v>6</v>
      </c>
      <c r="B7" t="s">
        <v>77</v>
      </c>
      <c r="C7" t="s">
        <v>78</v>
      </c>
      <c r="D7" t="s">
        <v>79</v>
      </c>
      <c r="E7" t="s">
        <v>55</v>
      </c>
      <c r="F7" t="s">
        <v>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ja9.EjecutarScriptPython">
                <anchor moveWithCells="1" sizeWithCells="1">
                  <from>
                    <xdr:col>6</xdr:col>
                    <xdr:colOff>542925</xdr:colOff>
                    <xdr:row>1</xdr:row>
                    <xdr:rowOff>0</xdr:rowOff>
                  </from>
                  <to>
                    <xdr:col>7</xdr:col>
                    <xdr:colOff>704850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9436B-F335-4AB2-8AB6-BE0E9053540F}">
  <sheetPr codeName="Hoja10"/>
  <dimension ref="A1:F11"/>
  <sheetViews>
    <sheetView workbookViewId="0">
      <selection activeCell="E3" sqref="E3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39.5703125" bestFit="1" customWidth="1"/>
    <col min="4" max="4" width="20" bestFit="1" customWidth="1"/>
    <col min="5" max="5" width="25.7109375" bestFit="1" customWidth="1"/>
    <col min="6" max="6" width="14" bestFit="1" customWidth="1"/>
  </cols>
  <sheetData>
    <row r="1" spans="1:6" x14ac:dyDescent="0.25">
      <c r="A1" t="s">
        <v>34</v>
      </c>
      <c r="B1" t="s">
        <v>43</v>
      </c>
      <c r="C1" t="s">
        <v>36</v>
      </c>
      <c r="D1" t="s">
        <v>37</v>
      </c>
      <c r="E1" t="s">
        <v>38</v>
      </c>
      <c r="F1" t="s">
        <v>44</v>
      </c>
    </row>
    <row r="2" spans="1:6" x14ac:dyDescent="0.25">
      <c r="A2">
        <v>1</v>
      </c>
      <c r="B2">
        <v>325</v>
      </c>
      <c r="C2" t="s">
        <v>97</v>
      </c>
      <c r="D2" t="s">
        <v>105</v>
      </c>
      <c r="E2" t="s">
        <v>70</v>
      </c>
      <c r="F2">
        <v>165</v>
      </c>
    </row>
    <row r="3" spans="1:6" x14ac:dyDescent="0.25">
      <c r="A3">
        <v>2</v>
      </c>
      <c r="B3">
        <v>326</v>
      </c>
      <c r="C3" t="s">
        <v>97</v>
      </c>
      <c r="D3" t="s">
        <v>106</v>
      </c>
      <c r="E3" t="s">
        <v>70</v>
      </c>
      <c r="F3">
        <v>165</v>
      </c>
    </row>
    <row r="4" spans="1:6" x14ac:dyDescent="0.25">
      <c r="A4">
        <v>3</v>
      </c>
      <c r="B4">
        <v>322</v>
      </c>
      <c r="C4" t="s">
        <v>93</v>
      </c>
      <c r="D4" t="s">
        <v>112</v>
      </c>
      <c r="E4" t="s">
        <v>12</v>
      </c>
      <c r="F4">
        <v>163</v>
      </c>
    </row>
    <row r="5" spans="1:6" x14ac:dyDescent="0.25">
      <c r="A5">
        <v>4</v>
      </c>
      <c r="B5">
        <v>321</v>
      </c>
      <c r="C5" t="s">
        <v>93</v>
      </c>
      <c r="D5" t="s">
        <v>111</v>
      </c>
      <c r="E5" t="s">
        <v>12</v>
      </c>
      <c r="F5">
        <v>163</v>
      </c>
    </row>
    <row r="6" spans="1:6" x14ac:dyDescent="0.25">
      <c r="A6">
        <v>5</v>
      </c>
      <c r="B6">
        <v>323</v>
      </c>
      <c r="C6" t="s">
        <v>95</v>
      </c>
      <c r="D6" t="s">
        <v>116</v>
      </c>
      <c r="E6" t="s">
        <v>70</v>
      </c>
      <c r="F6">
        <v>164</v>
      </c>
    </row>
    <row r="7" spans="1:6" x14ac:dyDescent="0.25">
      <c r="A7">
        <v>6</v>
      </c>
      <c r="B7">
        <v>324</v>
      </c>
      <c r="C7" t="s">
        <v>95</v>
      </c>
      <c r="D7" t="s">
        <v>117</v>
      </c>
      <c r="E7" t="s">
        <v>70</v>
      </c>
      <c r="F7">
        <v>164</v>
      </c>
    </row>
    <row r="8" spans="1:6" x14ac:dyDescent="0.25">
      <c r="A8">
        <v>7</v>
      </c>
      <c r="B8">
        <v>320</v>
      </c>
      <c r="C8" t="s">
        <v>91</v>
      </c>
      <c r="D8" t="s">
        <v>121</v>
      </c>
      <c r="E8" t="s">
        <v>12</v>
      </c>
      <c r="F8">
        <v>162</v>
      </c>
    </row>
    <row r="9" spans="1:6" x14ac:dyDescent="0.25">
      <c r="A9">
        <v>8</v>
      </c>
      <c r="B9">
        <v>319</v>
      </c>
      <c r="C9" t="s">
        <v>91</v>
      </c>
      <c r="D9" t="s">
        <v>120</v>
      </c>
      <c r="E9" t="s">
        <v>12</v>
      </c>
      <c r="F9">
        <v>162</v>
      </c>
    </row>
    <row r="10" spans="1:6" x14ac:dyDescent="0.25">
      <c r="A10">
        <v>9</v>
      </c>
      <c r="B10">
        <v>2</v>
      </c>
      <c r="C10" t="s">
        <v>78</v>
      </c>
      <c r="D10" t="s">
        <v>79</v>
      </c>
      <c r="E10" t="s">
        <v>55</v>
      </c>
      <c r="F10">
        <v>2</v>
      </c>
    </row>
    <row r="11" spans="1:6" x14ac:dyDescent="0.25">
      <c r="A11">
        <v>10</v>
      </c>
      <c r="B11">
        <v>258</v>
      </c>
      <c r="C11" t="s">
        <v>76</v>
      </c>
      <c r="D11" t="s">
        <v>40</v>
      </c>
      <c r="E11" t="s">
        <v>32</v>
      </c>
      <c r="F11">
        <v>114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Hoja9.EjecutarScriptPython">
                <anchor moveWithCells="1" sizeWithCells="1">
                  <from>
                    <xdr:col>7</xdr:col>
                    <xdr:colOff>266700</xdr:colOff>
                    <xdr:row>2</xdr:row>
                    <xdr:rowOff>0</xdr:rowOff>
                  </from>
                  <to>
                    <xdr:col>8</xdr:col>
                    <xdr:colOff>428625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FCC76-519F-483B-904A-400B2879BE8E}">
  <sheetPr codeName="Hoja11"/>
  <dimension ref="A1:B12"/>
  <sheetViews>
    <sheetView workbookViewId="0">
      <selection activeCell="F12" sqref="F12"/>
    </sheetView>
  </sheetViews>
  <sheetFormatPr baseColWidth="10" defaultRowHeight="15" x14ac:dyDescent="0.25"/>
  <cols>
    <col min="1" max="1" width="5" bestFit="1" customWidth="1"/>
    <col min="2" max="2" width="33.85546875" bestFit="1" customWidth="1"/>
  </cols>
  <sheetData>
    <row r="1" spans="1:2" x14ac:dyDescent="0.25">
      <c r="A1" t="s">
        <v>34</v>
      </c>
      <c r="B1" t="s">
        <v>45</v>
      </c>
    </row>
    <row r="2" spans="1:2" x14ac:dyDescent="0.25">
      <c r="A2">
        <v>1</v>
      </c>
      <c r="B2" t="s">
        <v>80</v>
      </c>
    </row>
    <row r="3" spans="1:2" x14ac:dyDescent="0.25">
      <c r="A3">
        <v>2</v>
      </c>
      <c r="B3" t="s">
        <v>81</v>
      </c>
    </row>
    <row r="4" spans="1:2" x14ac:dyDescent="0.25">
      <c r="A4">
        <v>3</v>
      </c>
      <c r="B4" t="s">
        <v>46</v>
      </c>
    </row>
    <row r="5" spans="1:2" x14ac:dyDescent="0.25">
      <c r="A5">
        <v>4</v>
      </c>
      <c r="B5" t="s">
        <v>82</v>
      </c>
    </row>
    <row r="6" spans="1:2" x14ac:dyDescent="0.25">
      <c r="A6">
        <v>5</v>
      </c>
      <c r="B6" t="s">
        <v>83</v>
      </c>
    </row>
    <row r="7" spans="1:2" x14ac:dyDescent="0.25">
      <c r="A7">
        <v>6</v>
      </c>
      <c r="B7" t="s">
        <v>47</v>
      </c>
    </row>
    <row r="8" spans="1:2" x14ac:dyDescent="0.25">
      <c r="A8">
        <v>7</v>
      </c>
      <c r="B8" t="s">
        <v>84</v>
      </c>
    </row>
    <row r="9" spans="1:2" x14ac:dyDescent="0.25">
      <c r="A9">
        <v>8</v>
      </c>
      <c r="B9" t="s">
        <v>85</v>
      </c>
    </row>
    <row r="10" spans="1:2" x14ac:dyDescent="0.25">
      <c r="A10">
        <v>9</v>
      </c>
      <c r="B10" t="s">
        <v>86</v>
      </c>
    </row>
    <row r="11" spans="1:2" x14ac:dyDescent="0.25">
      <c r="A11">
        <v>10</v>
      </c>
      <c r="B11" t="s">
        <v>87</v>
      </c>
    </row>
    <row r="12" spans="1:2" x14ac:dyDescent="0.25">
      <c r="A12">
        <v>11</v>
      </c>
      <c r="B12" t="s">
        <v>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Hoja9.EjecutarScriptPython">
                <anchor moveWithCells="1" sizeWithCells="1">
                  <from>
                    <xdr:col>3</xdr:col>
                    <xdr:colOff>19050</xdr:colOff>
                    <xdr:row>1</xdr:row>
                    <xdr:rowOff>19050</xdr:rowOff>
                  </from>
                  <to>
                    <xdr:col>4</xdr:col>
                    <xdr:colOff>180975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E7BB1-D11F-4881-AA8C-1719902D0CFE}">
  <sheetPr codeName="Hoja8"/>
  <dimension ref="A1:B31"/>
  <sheetViews>
    <sheetView workbookViewId="0">
      <selection activeCell="G13" sqref="G13"/>
    </sheetView>
  </sheetViews>
  <sheetFormatPr baseColWidth="10" defaultRowHeight="15" x14ac:dyDescent="0.25"/>
  <cols>
    <col min="1" max="1" width="5" bestFit="1" customWidth="1"/>
    <col min="2" max="2" width="34.85546875" bestFit="1" customWidth="1"/>
  </cols>
  <sheetData>
    <row r="1" spans="1:2" x14ac:dyDescent="0.25">
      <c r="A1" t="s">
        <v>34</v>
      </c>
      <c r="B1" t="s">
        <v>38</v>
      </c>
    </row>
    <row r="2" spans="1:2" x14ac:dyDescent="0.25">
      <c r="A2">
        <v>61</v>
      </c>
      <c r="B2" t="s">
        <v>48</v>
      </c>
    </row>
    <row r="3" spans="1:2" x14ac:dyDescent="0.25">
      <c r="A3">
        <v>62</v>
      </c>
      <c r="B3" t="s">
        <v>49</v>
      </c>
    </row>
    <row r="4" spans="1:2" x14ac:dyDescent="0.25">
      <c r="A4">
        <v>63</v>
      </c>
      <c r="B4" t="s">
        <v>50</v>
      </c>
    </row>
    <row r="5" spans="1:2" x14ac:dyDescent="0.25">
      <c r="A5">
        <v>64</v>
      </c>
      <c r="B5" t="s">
        <v>32</v>
      </c>
    </row>
    <row r="6" spans="1:2" x14ac:dyDescent="0.25">
      <c r="A6">
        <v>65</v>
      </c>
      <c r="B6" t="s">
        <v>51</v>
      </c>
    </row>
    <row r="7" spans="1:2" x14ac:dyDescent="0.25">
      <c r="A7">
        <v>66</v>
      </c>
      <c r="B7" t="s">
        <v>52</v>
      </c>
    </row>
    <row r="8" spans="1:2" x14ac:dyDescent="0.25">
      <c r="A8">
        <v>67</v>
      </c>
      <c r="B8" t="s">
        <v>53</v>
      </c>
    </row>
    <row r="9" spans="1:2" x14ac:dyDescent="0.25">
      <c r="A9">
        <v>68</v>
      </c>
      <c r="B9" t="s">
        <v>54</v>
      </c>
    </row>
    <row r="10" spans="1:2" x14ac:dyDescent="0.25">
      <c r="A10">
        <v>69</v>
      </c>
      <c r="B10" t="s">
        <v>55</v>
      </c>
    </row>
    <row r="11" spans="1:2" x14ac:dyDescent="0.25">
      <c r="A11">
        <v>70</v>
      </c>
      <c r="B11" t="s">
        <v>56</v>
      </c>
    </row>
    <row r="12" spans="1:2" x14ac:dyDescent="0.25">
      <c r="A12">
        <v>71</v>
      </c>
      <c r="B12" t="s">
        <v>57</v>
      </c>
    </row>
    <row r="13" spans="1:2" x14ac:dyDescent="0.25">
      <c r="A13">
        <v>72</v>
      </c>
      <c r="B13" t="s">
        <v>58</v>
      </c>
    </row>
    <row r="14" spans="1:2" x14ac:dyDescent="0.25">
      <c r="A14">
        <v>73</v>
      </c>
      <c r="B14" t="s">
        <v>59</v>
      </c>
    </row>
    <row r="15" spans="1:2" x14ac:dyDescent="0.25">
      <c r="A15">
        <v>74</v>
      </c>
      <c r="B15" t="s">
        <v>60</v>
      </c>
    </row>
    <row r="16" spans="1:2" x14ac:dyDescent="0.25">
      <c r="A16">
        <v>75</v>
      </c>
      <c r="B16" t="s">
        <v>61</v>
      </c>
    </row>
    <row r="17" spans="1:2" x14ac:dyDescent="0.25">
      <c r="A17">
        <v>76</v>
      </c>
      <c r="B17" t="s">
        <v>62</v>
      </c>
    </row>
    <row r="18" spans="1:2" x14ac:dyDescent="0.25">
      <c r="A18">
        <v>77</v>
      </c>
      <c r="B18" t="s">
        <v>63</v>
      </c>
    </row>
    <row r="19" spans="1:2" x14ac:dyDescent="0.25">
      <c r="A19">
        <v>78</v>
      </c>
      <c r="B19" t="s">
        <v>64</v>
      </c>
    </row>
    <row r="20" spans="1:2" x14ac:dyDescent="0.25">
      <c r="A20">
        <v>79</v>
      </c>
      <c r="B20" t="s">
        <v>65</v>
      </c>
    </row>
    <row r="21" spans="1:2" x14ac:dyDescent="0.25">
      <c r="A21">
        <v>80</v>
      </c>
      <c r="B21" t="s">
        <v>41</v>
      </c>
    </row>
    <row r="22" spans="1:2" x14ac:dyDescent="0.25">
      <c r="A22">
        <v>81</v>
      </c>
      <c r="B22" t="s">
        <v>12</v>
      </c>
    </row>
    <row r="23" spans="1:2" x14ac:dyDescent="0.25">
      <c r="A23">
        <v>82</v>
      </c>
      <c r="B23" t="s">
        <v>66</v>
      </c>
    </row>
    <row r="24" spans="1:2" x14ac:dyDescent="0.25">
      <c r="A24">
        <v>83</v>
      </c>
      <c r="B24" t="s">
        <v>67</v>
      </c>
    </row>
    <row r="25" spans="1:2" x14ac:dyDescent="0.25">
      <c r="A25">
        <v>84</v>
      </c>
      <c r="B25" t="s">
        <v>68</v>
      </c>
    </row>
    <row r="26" spans="1:2" x14ac:dyDescent="0.25">
      <c r="A26">
        <v>85</v>
      </c>
      <c r="B26" t="s">
        <v>69</v>
      </c>
    </row>
    <row r="27" spans="1:2" x14ac:dyDescent="0.25">
      <c r="A27">
        <v>86</v>
      </c>
      <c r="B27" t="s">
        <v>70</v>
      </c>
    </row>
    <row r="28" spans="1:2" x14ac:dyDescent="0.25">
      <c r="A28">
        <v>87</v>
      </c>
      <c r="B28" t="s">
        <v>71</v>
      </c>
    </row>
    <row r="29" spans="1:2" x14ac:dyDescent="0.25">
      <c r="A29">
        <v>88</v>
      </c>
      <c r="B29" t="s">
        <v>72</v>
      </c>
    </row>
    <row r="30" spans="1:2" x14ac:dyDescent="0.25">
      <c r="A30">
        <v>89</v>
      </c>
      <c r="B30" t="s">
        <v>73</v>
      </c>
    </row>
    <row r="31" spans="1:2" x14ac:dyDescent="0.25">
      <c r="A31">
        <v>90</v>
      </c>
      <c r="B31" t="s">
        <v>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Hoja9.EjecutarScriptPython">
                <anchor moveWithCells="1" sizeWithCells="1">
                  <from>
                    <xdr:col>2</xdr:col>
                    <xdr:colOff>590550</xdr:colOff>
                    <xdr:row>1</xdr:row>
                    <xdr:rowOff>57150</xdr:rowOff>
                  </from>
                  <to>
                    <xdr:col>3</xdr:col>
                    <xdr:colOff>752475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62833-DB8F-4872-8CD8-8B898FCAE5A3}">
  <sheetPr codeName="Hoja5"/>
  <dimension ref="A1:C3"/>
  <sheetViews>
    <sheetView workbookViewId="0">
      <selection activeCell="C2" sqref="C2"/>
    </sheetView>
  </sheetViews>
  <sheetFormatPr baseColWidth="10" defaultRowHeight="15" x14ac:dyDescent="0.25"/>
  <cols>
    <col min="1" max="1" width="5" bestFit="1" customWidth="1"/>
    <col min="2" max="2" width="18.5703125" bestFit="1" customWidth="1"/>
    <col min="3" max="3" width="48.5703125" bestFit="1" customWidth="1"/>
  </cols>
  <sheetData>
    <row r="1" spans="1:3" x14ac:dyDescent="0.25">
      <c r="A1" t="s">
        <v>34</v>
      </c>
      <c r="B1" t="s">
        <v>141</v>
      </c>
      <c r="C1" t="s">
        <v>142</v>
      </c>
    </row>
    <row r="2" spans="1:3" x14ac:dyDescent="0.25">
      <c r="A2">
        <v>14</v>
      </c>
      <c r="B2" t="s">
        <v>14</v>
      </c>
      <c r="C2" t="s">
        <v>143</v>
      </c>
    </row>
    <row r="3" spans="1:3" x14ac:dyDescent="0.25">
      <c r="A3">
        <v>15</v>
      </c>
      <c r="B3" t="s">
        <v>16</v>
      </c>
      <c r="C3" t="s">
        <v>144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74288B-C222-40FF-AADC-554A8501BD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Productos</vt:lpstr>
      <vt:lpstr>Atributos</vt:lpstr>
      <vt:lpstr>Orden de Compra</vt:lpstr>
      <vt:lpstr>Reposición</vt:lpstr>
      <vt:lpstr>Base de Datos Productos</vt:lpstr>
      <vt:lpstr>Base de Datos Variantes</vt:lpstr>
      <vt:lpstr>Base de Datos Proveedores</vt:lpstr>
      <vt:lpstr>Base de Datos Categorias</vt:lpstr>
      <vt:lpstr>Base de Datos Atributos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Campos</dc:creator>
  <cp:lastModifiedBy>Jhamil Crsipin Martel</cp:lastModifiedBy>
  <dcterms:created xsi:type="dcterms:W3CDTF">2015-06-05T18:17:20Z</dcterms:created>
  <dcterms:modified xsi:type="dcterms:W3CDTF">2024-09-17T07:02:13Z</dcterms:modified>
</cp:coreProperties>
</file>