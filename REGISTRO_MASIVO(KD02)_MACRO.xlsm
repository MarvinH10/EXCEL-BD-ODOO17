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/>
  <workbookPr/>
  <mc:AlternateContent xmlns:mc="http://schemas.openxmlformats.org/markup-compatibility/2006">
    <mc:Choice Requires="x15">
      <x15ac:absPath xmlns:x15ac="http://schemas.microsoft.com/office/spreadsheetml/2010/11/ac" url="C:\Users\Marvin Campos\Documents\PRUEBA_ODOO17.4\EXCEL-BD-ODOO17-main\"/>
    </mc:Choice>
  </mc:AlternateContent>
  <xr:revisionPtr revIDLastSave="0" documentId="13_ncr:1_{7A49BCB0-F875-449F-A76A-EE597B0F4A86}" xr6:coauthVersionLast="47" xr6:coauthVersionMax="47" xr10:uidLastSave="{00000000-0000-0000-0000-000000000000}"/>
  <bookViews>
    <workbookView xWindow="-120" yWindow="330" windowWidth="20730" windowHeight="11310" xr2:uid="{00000000-000D-0000-FFFF-FFFF00000000}"/>
  </bookViews>
  <sheets>
    <sheet name="Productos" sheetId="1" r:id="rId1"/>
    <sheet name="Variantes" sheetId="4" r:id="rId2"/>
    <sheet name="Orden de Compra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1" l="1"/>
  <c r="J4" i="1" s="1"/>
  <c r="H3" i="1"/>
  <c r="H2" i="1"/>
  <c r="M3" i="1"/>
  <c r="M4" i="1"/>
  <c r="L3" i="1"/>
  <c r="L4" i="1"/>
  <c r="K3" i="1"/>
  <c r="K4" i="1"/>
  <c r="J3" i="1"/>
  <c r="J2" i="1"/>
  <c r="I3" i="1"/>
  <c r="I4" i="1"/>
  <c r="A3" i="1"/>
  <c r="A4" i="1"/>
  <c r="I2" i="1"/>
  <c r="M2" i="1"/>
  <c r="L2" i="1"/>
  <c r="K2" i="1"/>
  <c r="A2" i="1"/>
</calcChain>
</file>

<file path=xl/sharedStrings.xml><?xml version="1.0" encoding="utf-8"?>
<sst xmlns="http://schemas.openxmlformats.org/spreadsheetml/2006/main" count="40" uniqueCount="35">
  <si>
    <t>Referencia Interna</t>
  </si>
  <si>
    <t>Nombre</t>
  </si>
  <si>
    <t>Categoría del Producto</t>
  </si>
  <si>
    <t>Atributos del producto / Atributo</t>
  </si>
  <si>
    <t>Activo</t>
  </si>
  <si>
    <t>¿Existe en su Base de Datos?</t>
  </si>
  <si>
    <t>Atributos del producto / Valores</t>
  </si>
  <si>
    <t>Precio de venta</t>
  </si>
  <si>
    <t>Disponible en PdV</t>
  </si>
  <si>
    <t>Tipo de producto</t>
  </si>
  <si>
    <t>Compra</t>
  </si>
  <si>
    <t>Venta</t>
  </si>
  <si>
    <t>CREMA HIDRATANTE</t>
  </si>
  <si>
    <t>Home / Iluminacion / Kawai</t>
  </si>
  <si>
    <t>CREMA001</t>
  </si>
  <si>
    <t>Impuesto de ventas / ID externo</t>
  </si>
  <si>
    <t>Talla</t>
  </si>
  <si>
    <t>X,L,M,S</t>
  </si>
  <si>
    <t>Color</t>
  </si>
  <si>
    <t>ROJO, ROSADO</t>
  </si>
  <si>
    <t>LAMP001</t>
  </si>
  <si>
    <t>LAMPARA ESFERA - CAPON</t>
  </si>
  <si>
    <t>S,M</t>
  </si>
  <si>
    <t>Talla: M</t>
  </si>
  <si>
    <t>__export__.product_product_293_082a8cb9</t>
  </si>
  <si>
    <t>CREMA001|S</t>
  </si>
  <si>
    <t>Talla: S</t>
  </si>
  <si>
    <t>__export__.product_product_292_573f866d</t>
  </si>
  <si>
    <t>Peso</t>
  </si>
  <si>
    <t>Referencia interna</t>
  </si>
  <si>
    <t>Escribir Aquí Refrencia Interna</t>
  </si>
  <si>
    <t>Costo</t>
  </si>
  <si>
    <t>Exportar Aquí Variantes</t>
  </si>
  <si>
    <t>ID externo</t>
  </si>
  <si>
    <t>LAMP001|M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</si>
</sst>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4" fontId="0" fillId="0" borderId="0" xfId="0" applyNumberFormat="1" applyAlignment="1">
      <alignment horizontal="center" vertical="center"/>
    </xf>
  </cellXfs>
  <cellStyles count="1">
    <cellStyle name="Normal" xfId="0" builtinId="0"/>
  </cellStyles>
  <dxfs count="24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EC7DDF-B8DF-4A80-9388-24CC1A8502E7}" name="Tabla1" displayName="Tabla1" ref="A1:M4" totalsRowShown="0" headerRowDxfId="23" dataDxfId="22">
  <autoFilter ref="A1:M4" xr:uid="{16EC7DDF-B8DF-4A80-9388-24CC1A8502E7}"/>
  <tableColumns count="13">
    <tableColumn id="1" xr3:uid="{A994A4AA-0C07-4F72-A67C-1794F69F8070}" name="Activo" dataDxfId="21">
      <calculatedColumnFormula>IF(Tabla1[[#This Row],[Referencia Interna]]="","","VERDADERO")</calculatedColumnFormula>
    </tableColumn>
    <tableColumn id="2" xr3:uid="{86D03588-B302-4CBB-BBD9-5A96A9B9C287}" name="¿Existe en su Base de Datos?" dataDxfId="20"/>
    <tableColumn id="3" xr3:uid="{09239416-5051-418D-8DAF-07B3020A5158}" name="Referencia Interna" dataDxfId="19"/>
    <tableColumn id="4" xr3:uid="{2DA43CDF-A68E-4987-9064-0E0103D9B09F}" name="Nombre" dataDxfId="18"/>
    <tableColumn id="5" xr3:uid="{BE54E6B8-9BD1-43BB-BE9F-08D4E991D6AF}" name="Categoría del Producto" dataDxfId="17"/>
    <tableColumn id="6" xr3:uid="{2B6B5ECA-CC8E-4936-90A9-89780CEF0FC4}" name="Atributos del producto / Atributo" dataDxfId="16"/>
    <tableColumn id="7" xr3:uid="{BED68AAE-FF74-458F-A138-ABE22053D8F3}" name="Atributos del producto / Valores" dataDxfId="15"/>
    <tableColumn id="8" xr3:uid="{32E14584-5D1C-4E2F-A75F-819C69455B53}" name="Precio de venta" dataDxfId="14">
      <calculatedColumnFormula>IF(Tabla1[[#This Row],[Referencia Interna]]="","","0")</calculatedColumnFormula>
    </tableColumn>
    <tableColumn id="9" xr3:uid="{F4059743-E3FF-4BE1-A165-EBDC9EAC539A}" name="Tipo de producto" dataDxfId="13">
      <calculatedColumnFormula>IF(Tabla1[[#This Row],[Referencia Interna]]="","","Bienes")</calculatedColumnFormula>
    </tableColumn>
    <tableColumn id="10" xr3:uid="{69696317-391F-4A9C-A932-ABC79B367DA3}" name="Impuesto de ventas / ID externo" dataDxfId="12">
      <calculatedColumnFormula>IF(Tabla1[[#This Row],[Precio de venta]]="","","account.1_sale_tax_exo")</calculatedColumnFormula>
    </tableColumn>
    <tableColumn id="11" xr3:uid="{BF59258F-C54C-40F9-BF05-31971EF2AA74}" name="Disponible en PdV" dataDxfId="11">
      <calculatedColumnFormula>IF(Tabla1[[#This Row],[Referencia Interna]]="","","VERDADERO")</calculatedColumnFormula>
    </tableColumn>
    <tableColumn id="12" xr3:uid="{8615B432-2249-4F32-8041-1621057C1897}" name="Compra" dataDxfId="10">
      <calculatedColumnFormula>IF(Tabla1[[#This Row],[Referencia Interna]]="","","VERDADERO")</calculatedColumnFormula>
    </tableColumn>
    <tableColumn id="13" xr3:uid="{BDBFCE7F-ED4C-4F82-A156-6E78D39D99F4}" name="Venta" dataDxfId="9">
      <calculatedColumnFormula>IF(Tabla1[[#This Row],[Referencia Interna]]="","","VERDADERO")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3839E0-06B2-456E-98D9-A004FAAEEE3F}" name="Tabla2" displayName="Tabla2" ref="A1:G5" totalsRowShown="0" headerRowDxfId="8" dataDxfId="7">
  <autoFilter ref="A1:G5" xr:uid="{66991EEC-4A4F-40AD-A51A-83914077D3BA}"/>
  <tableColumns count="7">
    <tableColumn id="1" xr3:uid="{834A0E71-3DD3-4E72-97F6-EA54BB0DF3A8}" name="ID externo" dataDxfId="6"/>
    <tableColumn id="2" xr3:uid="{6B70FBB7-1089-4EAB-AAC0-D3028F647F6A}" name="Nombre" dataDxfId="5"/>
    <tableColumn id="3" xr3:uid="{9958A3FE-4181-480B-AB77-14E42C1B36F3}" name="Exportar Aquí Variantes" dataDxfId="4"/>
    <tableColumn id="5" xr3:uid="{9F93C98E-3544-4E11-83BF-051BDC676087}" name="Costo" dataDxfId="3"/>
    <tableColumn id="6" xr3:uid="{6C135F61-6172-40E3-91C4-C31033112327}" name="Escribir Aquí Refrencia Interna" dataDxfId="2"/>
    <tableColumn id="8" xr3:uid="{4E3E68B7-BDAB-4E88-81F9-54E9B1487257}" name="Referencia interna" dataDxfId="1"/>
    <tableColumn id="7" xr3:uid="{90C981F6-CF32-4189-933C-23853E9BFF6D}" name="Peso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4"/>
  <sheetViews>
    <sheetView tabSelected="1" workbookViewId="0">
      <selection activeCell="B18" sqref="B18"/>
    </sheetView>
  </sheetViews>
  <sheetFormatPr baseColWidth="10" defaultColWidth="9.140625" defaultRowHeight="15" x14ac:dyDescent="0.25"/>
  <cols>
    <col min="1" max="1" width="19.85546875" style="1" bestFit="1" customWidth="1"/>
    <col min="2" max="2" width="31.140625" style="1" bestFit="1" customWidth="1"/>
    <col min="3" max="3" width="22.140625" style="1" bestFit="1" customWidth="1"/>
    <col min="4" max="4" width="19.140625" style="1" bestFit="1" customWidth="1"/>
    <col min="5" max="5" width="26" style="1" bestFit="1" customWidth="1"/>
    <col min="6" max="6" width="35.140625" style="1" bestFit="1" customWidth="1"/>
    <col min="7" max="7" width="34.42578125" style="1" bestFit="1" customWidth="1"/>
    <col min="8" max="8" width="19.28515625" style="1" bestFit="1" customWidth="1"/>
    <col min="9" max="9" width="20.7109375" style="1" bestFit="1" customWidth="1"/>
    <col min="10" max="10" width="44.85546875" style="1" bestFit="1" customWidth="1"/>
    <col min="11" max="11" width="21.85546875" style="1" bestFit="1" customWidth="1"/>
    <col min="12" max="12" width="21.7109375" style="1" bestFit="1" customWidth="1"/>
    <col min="13" max="13" width="20.7109375" style="1" bestFit="1" customWidth="1"/>
  </cols>
  <sheetData>
    <row r="1" spans="1:13" x14ac:dyDescent="0.25">
      <c r="A1" s="1" t="s">
        <v>4</v>
      </c>
      <c r="B1" s="1" t="s">
        <v>5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6</v>
      </c>
      <c r="H1" s="1" t="s">
        <v>7</v>
      </c>
      <c r="I1" s="1" t="s">
        <v>9</v>
      </c>
      <c r="J1" s="1" t="s">
        <v>15</v>
      </c>
      <c r="K1" s="1" t="s">
        <v>8</v>
      </c>
      <c r="L1" s="1" t="s">
        <v>10</v>
      </c>
      <c r="M1" s="1" t="s">
        <v>11</v>
      </c>
    </row>
    <row r="2" spans="1:13" x14ac:dyDescent="0.25">
      <c r="A2" s="1" t="str">
        <f>IF(Tabla1[[#This Row],[Referencia Interna]]="","","VERDADERO")</f>
        <v>VERDADERO</v>
      </c>
      <c r="C2" s="1" t="s">
        <v>14</v>
      </c>
      <c r="D2" s="1" t="s">
        <v>12</v>
      </c>
      <c r="E2" s="1" t="s">
        <v>13</v>
      </c>
      <c r="F2" s="1" t="s">
        <v>16</v>
      </c>
      <c r="G2" s="1" t="s">
        <v>17</v>
      </c>
      <c r="H2" s="1" t="str">
        <f>IF(Tabla1[[#This Row],[Referencia Interna]]="","","0")</f>
        <v>0</v>
      </c>
      <c r="I2" s="1" t="str">
        <f>IF(Tabla1[[#This Row],[Referencia Interna]]="","","Bienes")</f>
        <v>Bienes</v>
      </c>
      <c r="J2" s="1" t="str">
        <f>IF(Tabla1[[#This Row],[Precio de venta]]="","","account.1_sale_tax_exo")</f>
        <v>account.1_sale_tax_exo</v>
      </c>
      <c r="K2" s="1" t="str">
        <f>IF(Tabla1[[#This Row],[Referencia Interna]]="","","VERDADERO")</f>
        <v>VERDADERO</v>
      </c>
      <c r="L2" s="1" t="str">
        <f>IF(Tabla1[[#This Row],[Referencia Interna]]="","","VERDADERO")</f>
        <v>VERDADERO</v>
      </c>
      <c r="M2" s="1" t="str">
        <f>IF(Tabla1[[#This Row],[Referencia Interna]]="","","VERDADERO")</f>
        <v>VERDADERO</v>
      </c>
    </row>
    <row r="3" spans="1:13" x14ac:dyDescent="0.25">
      <c r="A3" s="1" t="str">
        <f>IF(Tabla1[[#This Row],[Referencia Interna]]="","","VERDADERO")</f>
        <v/>
      </c>
      <c r="F3" s="1" t="s">
        <v>18</v>
      </c>
      <c r="G3" s="1" t="s">
        <v>19</v>
      </c>
      <c r="H3" s="1" t="str">
        <f>IF(Tabla1[[#This Row],[Referencia Interna]]="","","0")</f>
        <v/>
      </c>
      <c r="I3" s="1" t="str">
        <f>IF(Tabla1[[#This Row],[Referencia Interna]]="","","Bienes")</f>
        <v/>
      </c>
      <c r="J3" s="1" t="str">
        <f>IF(Tabla1[[#This Row],[Precio de venta]]="","","account.1_sale_tax_exo")</f>
        <v/>
      </c>
      <c r="K3" s="1" t="str">
        <f>IF(Tabla1[[#This Row],[Referencia Interna]]="","","VERDADERO")</f>
        <v/>
      </c>
      <c r="L3" s="1" t="str">
        <f>IF(Tabla1[[#This Row],[Referencia Interna]]="","","VERDADERO")</f>
        <v/>
      </c>
      <c r="M3" s="1" t="str">
        <f>IF(Tabla1[[#This Row],[Referencia Interna]]="","","VERDADERO")</f>
        <v/>
      </c>
    </row>
    <row r="4" spans="1:13" x14ac:dyDescent="0.25">
      <c r="A4" s="1" t="str">
        <f>IF(Tabla1[[#This Row],[Referencia Interna]]="","","VERDADERO")</f>
        <v>VERDADERO</v>
      </c>
      <c r="C4" s="1" t="s">
        <v>20</v>
      </c>
      <c r="D4" s="1" t="s">
        <v>21</v>
      </c>
      <c r="E4" s="1" t="s">
        <v>13</v>
      </c>
      <c r="F4" s="1" t="s">
        <v>16</v>
      </c>
      <c r="G4" s="1" t="s">
        <v>22</v>
      </c>
      <c r="H4" s="1" t="str">
        <f>IF(Tabla1[[#This Row],[Referencia Interna]]="","","0")</f>
        <v>0</v>
      </c>
      <c r="I4" s="1" t="str">
        <f>IF(Tabla1[[#This Row],[Referencia Interna]]="","","Bienes")</f>
        <v>Bienes</v>
      </c>
      <c r="J4" s="1" t="str">
        <f>IF(Tabla1[[#This Row],[Precio de venta]]="","","account.1_sale_tax_exo")</f>
        <v>account.1_sale_tax_exo</v>
      </c>
      <c r="K4" s="1" t="str">
        <f>IF(Tabla1[[#This Row],[Referencia Interna]]="","","VERDADERO")</f>
        <v>VERDADERO</v>
      </c>
      <c r="L4" s="1" t="str">
        <f>IF(Tabla1[[#This Row],[Referencia Interna]]="","","VERDADERO")</f>
        <v>VERDADERO</v>
      </c>
      <c r="M4" s="1" t="str">
        <f>IF(Tabla1[[#This Row],[Referencia Interna]]="","","VERDADERO")</f>
        <v>VERDADERO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FA74-1CD2-4131-88FC-A92188A1A054}">
  <dimension ref="A1:G5"/>
  <sheetViews>
    <sheetView workbookViewId="0">
      <selection activeCell="E9" sqref="E9"/>
    </sheetView>
  </sheetViews>
  <sheetFormatPr baseColWidth="10" defaultRowHeight="15" x14ac:dyDescent="0.25"/>
  <cols>
    <col min="1" max="1" width="39.85546875" style="1" bestFit="1" customWidth="1"/>
    <col min="2" max="2" width="24.85546875" style="1" bestFit="1" customWidth="1"/>
    <col min="3" max="3" width="26.7109375" style="1" bestFit="1" customWidth="1"/>
    <col min="4" max="4" width="10.5703125" style="1" bestFit="1" customWidth="1"/>
    <col min="5" max="5" width="32.7109375" style="1" bestFit="1" customWidth="1"/>
    <col min="6" max="6" width="22.140625" style="1" bestFit="1" customWidth="1"/>
    <col min="7" max="7" width="9.85546875" style="1" bestFit="1" customWidth="1"/>
  </cols>
  <sheetData>
    <row r="1" spans="1:7" x14ac:dyDescent="0.25">
      <c r="A1" s="3" t="s">
        <v>33</v>
      </c>
      <c r="B1" s="3" t="s">
        <v>1</v>
      </c>
      <c r="C1" s="3" t="s">
        <v>32</v>
      </c>
      <c r="D1" s="1" t="s">
        <v>31</v>
      </c>
      <c r="E1" s="2" t="s">
        <v>30</v>
      </c>
      <c r="F1" s="1" t="s">
        <v>29</v>
      </c>
      <c r="G1" s="1" t="s">
        <v>28</v>
      </c>
    </row>
    <row r="2" spans="1:7" x14ac:dyDescent="0.25">
      <c r="A2" s="1" t="s">
        <v>27</v>
      </c>
      <c r="B2" s="1" t="s">
        <v>21</v>
      </c>
      <c r="C2" s="1" t="s">
        <v>26</v>
      </c>
      <c r="F2" s="1" t="s">
        <v>25</v>
      </c>
      <c r="G2" s="1">
        <v>0.26540000000000002</v>
      </c>
    </row>
    <row r="3" spans="1:7" x14ac:dyDescent="0.25">
      <c r="A3" s="4"/>
      <c r="B3" s="4"/>
      <c r="C3" s="4"/>
    </row>
    <row r="4" spans="1:7" x14ac:dyDescent="0.25">
      <c r="A4" s="1" t="s">
        <v>24</v>
      </c>
      <c r="B4" s="1" t="s">
        <v>21</v>
      </c>
      <c r="C4" s="1" t="s">
        <v>23</v>
      </c>
      <c r="F4" s="1" t="s">
        <v>34</v>
      </c>
      <c r="G4" s="1">
        <v>0.24579999999999999</v>
      </c>
    </row>
    <row r="5" spans="1:7" x14ac:dyDescent="0.25">
      <c r="A5" s="4"/>
      <c r="B5" s="4"/>
      <c r="C5" s="4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991A5-F4CF-45AF-A300-AEFEF9F45D4C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Productos</vt:lpstr>
      <vt:lpstr>Variantes</vt:lpstr>
      <vt:lpstr>Orden de Compra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Campos</dc:creator>
  <cp:lastModifiedBy>Otros Usuarios</cp:lastModifiedBy>
  <dcterms:created xsi:type="dcterms:W3CDTF">2015-06-05T18:17:20Z</dcterms:created>
  <dcterms:modified xsi:type="dcterms:W3CDTF">2024-09-17T01:38:40Z</dcterms:modified>
</cp:coreProperties>
</file>