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n Campos\Documents\EXCEL-BD-ODOO17-main\"/>
    </mc:Choice>
  </mc:AlternateContent>
  <xr:revisionPtr revIDLastSave="0" documentId="13_ncr:1_{0D96C516-5E91-42E3-8703-EDBBC5AB4666}" xr6:coauthVersionLast="47" xr6:coauthVersionMax="47" xr10:uidLastSave="{00000000-0000-0000-0000-000000000000}"/>
  <bookViews>
    <workbookView xWindow="-120" yWindow="-120" windowWidth="20730" windowHeight="11160" tabRatio="674" xr2:uid="{D3C62A16-6BD1-4703-84CA-16FF165586D4}"/>
  </bookViews>
  <sheets>
    <sheet name="Productos" sheetId="2" r:id="rId1"/>
    <sheet name="Atributos" sheetId="3" r:id="rId2"/>
    <sheet name="Orden Compra" sheetId="4" r:id="rId3"/>
    <sheet name="Reposición" sheetId="5" r:id="rId4"/>
    <sheet name="Base de Datos Productos" sheetId="7" r:id="rId5"/>
    <sheet name="Base de Datos Variantes" sheetId="9" r:id="rId6"/>
    <sheet name="Base de Datos Proveedores" sheetId="11" r:id="rId7"/>
  </sheets>
  <definedNames>
    <definedName name="CategoryList">'Base de Datos Productos'!$E$2:$E$13</definedName>
    <definedName name="DatosExternos_1" localSheetId="4" hidden="1">'Base de Datos Productos'!$A$1:$F$13</definedName>
    <definedName name="DatosExternos_1" localSheetId="6" hidden="1">'Base de Datos Proveedores'!$A$1:$B$23</definedName>
    <definedName name="DatosExternos_1" localSheetId="5" hidden="1">'Base de Datos Variantes'!$A$1:$F$109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I3" i="2"/>
  <c r="J3" i="2"/>
  <c r="K3" i="2"/>
  <c r="L3" i="2"/>
  <c r="M3" i="2"/>
  <c r="A3" i="5"/>
  <c r="H3" i="5"/>
  <c r="I3" i="5"/>
  <c r="J3" i="5"/>
  <c r="K3" i="5"/>
  <c r="L3" i="5"/>
  <c r="A2" i="5"/>
  <c r="H2" i="5"/>
  <c r="I2" i="5"/>
  <c r="J2" i="5"/>
  <c r="K2" i="5"/>
  <c r="L2" i="5"/>
  <c r="A2" i="2"/>
  <c r="I2" i="2"/>
  <c r="J2" i="2"/>
  <c r="K2" i="2"/>
  <c r="L2" i="2"/>
  <c r="M2" i="2"/>
  <c r="A2" i="4"/>
  <c r="B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1A97D96-4865-4030-AE92-3A3C70EB4A82}" keepAlive="1" name="Consulta - odoo_bd productos" description="Conexión a la consulta 'odoo_bd productos' en el libro." type="5" refreshedVersion="8" background="1" saveData="1">
    <dbPr connection="Provider=Microsoft.Mashup.OleDb.1;Data Source=$Workbook$;Location=&quot;odoo_bd productos&quot;;Extended Properties=&quot;&quot;" command="SELECT * FROM [odoo_bd productos]"/>
  </connection>
  <connection id="2" xr16:uid="{8043B6F1-50B0-4890-9DA6-E7D3D0667BE6}" keepAlive="1" name="Consulta - odoo_bd proveedores" description="Conexión a la consulta 'odoo_bd proveedores' en el libro." type="5" refreshedVersion="8" background="1" saveData="1">
    <dbPr connection="Provider=Microsoft.Mashup.OleDb.1;Data Source=$Workbook$;Location=&quot;odoo_bd proveedores&quot;;Extended Properties=&quot;&quot;" command="SELECT * FROM [odoo_bd proveedores]"/>
  </connection>
  <connection id="3" xr16:uid="{C03FA930-AC54-4C85-B4C0-D9080C28EFFC}" keepAlive="1" name="Consulta - odoo_bd variantes" description="Conexión a la consulta 'odoo_bd variantes' en el libro." type="5" refreshedVersion="8" background="1" saveData="1">
    <dbPr connection="Provider=Microsoft.Mashup.OleDb.1;Data Source=$Workbook$;Location=&quot;odoo_bd variantes&quot;;Extended Properties=&quot;&quot;" command="SELECT * FROM [odoo_bd variantes]"/>
  </connection>
</connections>
</file>

<file path=xl/sharedStrings.xml><?xml version="1.0" encoding="utf-8"?>
<sst xmlns="http://schemas.openxmlformats.org/spreadsheetml/2006/main" count="601" uniqueCount="252">
  <si>
    <t>Atributos del producto / Atributo</t>
  </si>
  <si>
    <t>Atributos del producto / Valores</t>
  </si>
  <si>
    <t>Disponible en PdV</t>
  </si>
  <si>
    <t>Se puede comprar</t>
  </si>
  <si>
    <t>Se puede vender</t>
  </si>
  <si>
    <t>Color</t>
  </si>
  <si>
    <t>Nombre</t>
  </si>
  <si>
    <t>Referencia interna</t>
  </si>
  <si>
    <t>Categoría del producto</t>
  </si>
  <si>
    <t>Precio de venta</t>
  </si>
  <si>
    <t>Tipo</t>
  </si>
  <si>
    <t>Impuestos del cliente</t>
  </si>
  <si>
    <t>Activo</t>
  </si>
  <si>
    <t>CABALLERO / PANTALON / FILIPO ALPI</t>
  </si>
  <si>
    <t>Talla</t>
  </si>
  <si>
    <t>ROJO,BLANCO,VERDE</t>
  </si>
  <si>
    <t>PANTALON FILI BOSTO</t>
  </si>
  <si>
    <t>PANTALON FILI ALPI</t>
  </si>
  <si>
    <t>ID externo</t>
  </si>
  <si>
    <t>Costo</t>
  </si>
  <si>
    <t>Peso</t>
  </si>
  <si>
    <t>Empresa</t>
  </si>
  <si>
    <t>Prioridad</t>
  </si>
  <si>
    <t>Proveedor</t>
  </si>
  <si>
    <t>Referencia de proveedor</t>
  </si>
  <si>
    <t>Líneas de la orden / Producto</t>
  </si>
  <si>
    <t>Líneas de la orden / Precio unitario</t>
  </si>
  <si>
    <t>Líneas de la orden / Cantidad</t>
  </si>
  <si>
    <t>Líneas de la orden / Impuestos</t>
  </si>
  <si>
    <t>ODOO.LIST("aca va el id",1,"product_variant_ids")</t>
  </si>
  <si>
    <t>[PANTALON FILI ALPI 1] PANTALON FILI ALPI (ROJO, S), [PANTALON FILI ALPI 2] PANTALON FILI ALPI (ROJO, L), [PANTALON FILI ALPI 3] PANTALON FILI ALPI (ROJO, XL), [PANTALON FILI ALPI 4] PANTALON FILI ALPI (BLANCO, S), [PANTALON FILI ALPI 5] PANTALON FILI ALPI (BLANCO, L), [PANTALON FILI ALPI 6] PANTALON FILI ALPI (BLANCO, XL)</t>
  </si>
  <si>
    <t>id</t>
  </si>
  <si>
    <t>nombre</t>
  </si>
  <si>
    <t>referencia_interna</t>
  </si>
  <si>
    <t>categoria</t>
  </si>
  <si>
    <t>All</t>
  </si>
  <si>
    <t>PANTALON CONFORT DINAMIC</t>
  </si>
  <si>
    <t>0</t>
  </si>
  <si>
    <t>123</t>
  </si>
  <si>
    <t>PATALON PIMAC BOSELI</t>
  </si>
  <si>
    <t>PRODUCTO PRUEBA 1</t>
  </si>
  <si>
    <t>C. DE LA PIEL / C. OJOS / ANTITRANSPIRANTES / A. GLICOLICO / Jyza</t>
  </si>
  <si>
    <t>Producto Prueba 2</t>
  </si>
  <si>
    <t>2131</t>
  </si>
  <si>
    <t>prod_id</t>
  </si>
  <si>
    <t>PANTALON GZUCK FILI</t>
  </si>
  <si>
    <t>PANTALON GZUCK BOSTO</t>
  </si>
  <si>
    <t>654</t>
  </si>
  <si>
    <t>987</t>
  </si>
  <si>
    <t>X,L,M,S</t>
  </si>
  <si>
    <t>PRODUCTO PRUEBA 2</t>
  </si>
  <si>
    <t>11699</t>
  </si>
  <si>
    <t>11719</t>
  </si>
  <si>
    <t>11718</t>
  </si>
  <si>
    <t>11751</t>
  </si>
  <si>
    <t>11750</t>
  </si>
  <si>
    <t>11700</t>
  </si>
  <si>
    <t>11726</t>
  </si>
  <si>
    <t>11727</t>
  </si>
  <si>
    <t>PRODUCTO PRUEBA 3</t>
  </si>
  <si>
    <t>No existe en su Base de Datos</t>
  </si>
  <si>
    <t>atributos</t>
  </si>
  <si>
    <t>11756</t>
  </si>
  <si>
    <t>PANTALON</t>
  </si>
  <si>
    <t>roma, empire, ROJO, GREY, AZUL</t>
  </si>
  <si>
    <t>VERDE, BEIGE, CHOCOLATE, NEGRO, 28, 30, 32, 34, 36, 38</t>
  </si>
  <si>
    <t>ROJO, BLANCO, S, L, XL</t>
  </si>
  <si>
    <t>ROJO, VERDE, BLANCO, S, M, L, XL</t>
  </si>
  <si>
    <t>11766</t>
  </si>
  <si>
    <t>PANTALON-PANTS</t>
  </si>
  <si>
    <t>VERDE, BLANCO, X, S, M, L</t>
  </si>
  <si>
    <t>11765</t>
  </si>
  <si>
    <t>POLO T-SHIRT</t>
  </si>
  <si>
    <t>984</t>
  </si>
  <si>
    <t>C. DE LA PIEL / C. OJOS / ANTITRANSPIRANTES / VITAMINA C</t>
  </si>
  <si>
    <t>ROJO, X, S, M, L</t>
  </si>
  <si>
    <t/>
  </si>
  <si>
    <t>11755</t>
  </si>
  <si>
    <t>variant_id</t>
  </si>
  <si>
    <t>producto_id</t>
  </si>
  <si>
    <t>FILDINANEG25</t>
  </si>
  <si>
    <t>FILDINANEG26</t>
  </si>
  <si>
    <t>FILDINANEG27</t>
  </si>
  <si>
    <t>FILDINANEG28</t>
  </si>
  <si>
    <t>FILDINANEG29</t>
  </si>
  <si>
    <t>FILDINANEG30</t>
  </si>
  <si>
    <t>FILDINANEG31</t>
  </si>
  <si>
    <t>FILDINANEG32</t>
  </si>
  <si>
    <t>FILDINANEG33</t>
  </si>
  <si>
    <t>FILDINANEG34</t>
  </si>
  <si>
    <t>FILDINANEG35</t>
  </si>
  <si>
    <t>FILDINANEG36</t>
  </si>
  <si>
    <t>FILDINANEG37</t>
  </si>
  <si>
    <t>FILDINANEG38</t>
  </si>
  <si>
    <t>FILDINANEG39</t>
  </si>
  <si>
    <t>FILDINANEG40</t>
  </si>
  <si>
    <t>FILDINANEG41</t>
  </si>
  <si>
    <t>FILDINANEG42</t>
  </si>
  <si>
    <t>FILDINANEG43</t>
  </si>
  <si>
    <t>FILDINANEG44</t>
  </si>
  <si>
    <t>FILDINANEG45</t>
  </si>
  <si>
    <t>FILDINANEG46</t>
  </si>
  <si>
    <t>FILDINANEG47</t>
  </si>
  <si>
    <t>FILDINANEG48</t>
  </si>
  <si>
    <t>PANTALON FILI ALPI 1</t>
  </si>
  <si>
    <t>PANTALON FILI ALPI 2</t>
  </si>
  <si>
    <t>PANTALON FILI ALPI 3</t>
  </si>
  <si>
    <t>PANTALON FILI ALPI 4</t>
  </si>
  <si>
    <t>PANTALON FILI ALPI 5</t>
  </si>
  <si>
    <t>PANTALON-PANTS 1</t>
  </si>
  <si>
    <t>PANTALON-PANTS 3</t>
  </si>
  <si>
    <t>PANTALON-PANTS 4</t>
  </si>
  <si>
    <t>PANTALON-PANTS 5</t>
  </si>
  <si>
    <t>PANTALON-PANTS 6</t>
  </si>
  <si>
    <t>PANTALON-PANTS 7</t>
  </si>
  <si>
    <t>PANTALON-PANTS 8</t>
  </si>
  <si>
    <t>Si existe en su Base de Datos</t>
  </si>
  <si>
    <t>Categoría del Producto</t>
  </si>
  <si>
    <t>MARVIN</t>
  </si>
  <si>
    <t>[PANTALON FILI ALPI 1] PANTALON FILI ALPI (ROJO, S)</t>
  </si>
  <si>
    <t>[PANTALON FILI ALPI 2] PANTALON FILI ALPI (ROJO, L)</t>
  </si>
  <si>
    <t>[PANTALON FILI ALPI 3] PANTALON FILI ALPI (ROJO, XL)</t>
  </si>
  <si>
    <t>[PANTALON FILI ALPI 4] PANTALON FILI ALPI (BLANCO, S)</t>
  </si>
  <si>
    <t>[PANTALON FILI ALPI 5] PANTALON FILI ALPI (BLANCO, L)</t>
  </si>
  <si>
    <t>[PANTALON FILI ALPI 6] PANTALON FILI ALPI (BLANCO, XL)</t>
  </si>
  <si>
    <t>__export__.product_product_16519_a5fe1d08</t>
  </si>
  <si>
    <t>__export__.product_product_16528_cf5eef96</t>
  </si>
  <si>
    <t>__export__.product_product_16529_9bf1d7fc</t>
  </si>
  <si>
    <t>Color: BEIGE,Talla: 36</t>
  </si>
  <si>
    <t>__export__.product_product_16530_c3792c76</t>
  </si>
  <si>
    <t>Color: BEIGE,Talla: 38</t>
  </si>
  <si>
    <t>__export__.product_product_16531_5f4769eb</t>
  </si>
  <si>
    <t>Color: VERDE,Talla: 28</t>
  </si>
  <si>
    <t>__export__.product_product_16532_d1efc4a5</t>
  </si>
  <si>
    <t>Color: VERDE,Talla: 30</t>
  </si>
  <si>
    <t>__export__.product_product_16533_c2d7e45b</t>
  </si>
  <si>
    <t>Color: VERDE,Talla: 32</t>
  </si>
  <si>
    <t>__export__.product_product_16534_e6135105</t>
  </si>
  <si>
    <t>Color: VERDE,Talla: 34</t>
  </si>
  <si>
    <t>__export__.product_product_16535_ce211337</t>
  </si>
  <si>
    <t>Color: VERDE,Talla: 36</t>
  </si>
  <si>
    <t>__export__.product_product_16536_20c83c67</t>
  </si>
  <si>
    <t>Color: VERDE,Talla: 38</t>
  </si>
  <si>
    <t>__export__.product_product_16537_90235b65</t>
  </si>
  <si>
    <t>Color: CHOCOLATE,Talla: 28</t>
  </si>
  <si>
    <t>__export__.product_product_16520_032ebfb9</t>
  </si>
  <si>
    <t>Color: NEGRO,Talla: 30</t>
  </si>
  <si>
    <t>__export__.product_product_16538_fe730b04</t>
  </si>
  <si>
    <t>Color: CHOCOLATE,Talla: 30</t>
  </si>
  <si>
    <t>__export__.product_product_16539_d549313c</t>
  </si>
  <si>
    <t>Color: CHOCOLATE,Talla: 32</t>
  </si>
  <si>
    <t>__export__.product_product_16540_584f8563</t>
  </si>
  <si>
    <t>Color: CHOCOLATE,Talla: 34</t>
  </si>
  <si>
    <t>__export__.product_product_16541_61ee8ff0</t>
  </si>
  <si>
    <t>Color: CHOCOLATE,Talla: 36</t>
  </si>
  <si>
    <t>__export__.product_product_16542_eae50b1c</t>
  </si>
  <si>
    <t>Color: CHOCOLATE,Talla: 38</t>
  </si>
  <si>
    <t>__export__.product_product_16521_565d84ee</t>
  </si>
  <si>
    <t>Color: NEGRO,Talla: 32</t>
  </si>
  <si>
    <t>__export__.product_product_16522_427ed43e</t>
  </si>
  <si>
    <t>Color: NEGRO,Talla: 34</t>
  </si>
  <si>
    <t>__export__.product_product_16523_0cecdc59</t>
  </si>
  <si>
    <t>Color: NEGRO,Talla: 36</t>
  </si>
  <si>
    <t>__export__.product_product_16524_17b51549</t>
  </si>
  <si>
    <t>Color: NEGRO,Talla: 38</t>
  </si>
  <si>
    <t>__export__.product_product_16525_7c08c45f</t>
  </si>
  <si>
    <t>Color: BEIGE,Talla: 28</t>
  </si>
  <si>
    <t>__export__.product_product_16526_9caeb21b</t>
  </si>
  <si>
    <t>Color: BEIGE,Talla: 30</t>
  </si>
  <si>
    <t>__export__.product_product_16527_2a686e06</t>
  </si>
  <si>
    <t>Color: BEIGE,Talla: 32</t>
  </si>
  <si>
    <t>Escribir Aquí Referencia</t>
  </si>
  <si>
    <t>A002|BEIGE/34</t>
  </si>
  <si>
    <t>A002|BEIGE/36</t>
  </si>
  <si>
    <t>A002|BEIGE/38</t>
  </si>
  <si>
    <t>A002|VERDE/28</t>
  </si>
  <si>
    <t>A002|VERDE/30</t>
  </si>
  <si>
    <t>A002|VERDE/32</t>
  </si>
  <si>
    <t>A002|VERDE/34</t>
  </si>
  <si>
    <t>A002|VERDE/36</t>
  </si>
  <si>
    <t>A002|VERDE/38</t>
  </si>
  <si>
    <t>A002|CHOCOLATE/28</t>
  </si>
  <si>
    <t>A002|NEGRO/30</t>
  </si>
  <si>
    <t>A002|CHOCOLATE/30</t>
  </si>
  <si>
    <t>A002|CHOCOLATE/32</t>
  </si>
  <si>
    <t>A002|CHOCOLATE/34</t>
  </si>
  <si>
    <t>A002|CHOCOLATE/36</t>
  </si>
  <si>
    <t>A002|CHOCOLATE/38</t>
  </si>
  <si>
    <t>A002|NEGRO/32</t>
  </si>
  <si>
    <t>A002|NEGRO/34</t>
  </si>
  <si>
    <t>A002|NEGRO/36</t>
  </si>
  <si>
    <t>A002|NEGRO/38</t>
  </si>
  <si>
    <t>A002|BEIGE/28</t>
  </si>
  <si>
    <t>A002|BEIGE/30</t>
  </si>
  <si>
    <t>A002|BEIGE/32</t>
  </si>
  <si>
    <t>Exportar Aquí Variantes</t>
  </si>
  <si>
    <t>AQUÍ SALDRA EL SEPARADOR</t>
  </si>
  <si>
    <t>proveedor_nombre</t>
  </si>
  <si>
    <t>ABIMAEL FERNANDEZ</t>
  </si>
  <si>
    <t>CARNES S.R.L.</t>
  </si>
  <si>
    <t>CMAC - HUANCAYO S.A.</t>
  </si>
  <si>
    <t>Cliente Tingo</t>
  </si>
  <si>
    <t>Consumidor Favorito</t>
  </si>
  <si>
    <t>Empleado TM</t>
  </si>
  <si>
    <t>Jhamil Antony Crispin Martel</t>
  </si>
  <si>
    <t>Jhamil Crispin</t>
  </si>
  <si>
    <t>Jhamil Transportista</t>
  </si>
  <si>
    <t>KDOSH STORE SOCIEDAD  ANONIMA CERRADA</t>
  </si>
  <si>
    <t>KHJGHJLHJIKL</t>
  </si>
  <si>
    <t>KdoshStore</t>
  </si>
  <si>
    <t>KdoshStore HUANUCO</t>
  </si>
  <si>
    <t>KdoshStore TINGO MARIA</t>
  </si>
  <si>
    <t>LECHE GLORIA SOCIEDAD ANONIMA - GLORIA S.A.</t>
  </si>
  <si>
    <t>MUNICIPALIDAD DISTRITAL DE AMARILIS</t>
  </si>
  <si>
    <t>PAN AMERICAN SILVER PERU S.A.C.</t>
  </si>
  <si>
    <t>PARRA MUÑOZ MARISOL GIOVANNA</t>
  </si>
  <si>
    <t>PERU CARNES S.A.C</t>
  </si>
  <si>
    <t>SUPERINTENDENCIA NACIONAL DE ADUANAS Y DE ADMINISTRACION TRIBUTARIA - SUNAT</t>
  </si>
  <si>
    <t>TERRANOVA TRADING S.A.C.</t>
  </si>
  <si>
    <t>TRANSPORTE PUBLICO</t>
  </si>
  <si>
    <t>A002|NEGRO/28</t>
  </si>
  <si>
    <t>B001|PANTALON-PANTS 2</t>
  </si>
  <si>
    <t>A003</t>
  </si>
  <si>
    <t>A003|BEIGE/36</t>
  </si>
  <si>
    <t>A003|BEIGE/38</t>
  </si>
  <si>
    <t>A003|VERDE/28</t>
  </si>
  <si>
    <t>A003|VERDE/30</t>
  </si>
  <si>
    <t>A003|VERDE/32</t>
  </si>
  <si>
    <t>A003|VERDE/34</t>
  </si>
  <si>
    <t>A003|VERDE/36</t>
  </si>
  <si>
    <t>A003|VERDE/38</t>
  </si>
  <si>
    <t>A003|CHOCOLATE/28</t>
  </si>
  <si>
    <t>A003|NEGRO/30</t>
  </si>
  <si>
    <t>A003|CHOCOLATE/30</t>
  </si>
  <si>
    <t>A003|CHOCOLATE/32</t>
  </si>
  <si>
    <t>A003|CHOCOLATE/34</t>
  </si>
  <si>
    <t>A003|CHOCOLATE/36</t>
  </si>
  <si>
    <t>A003|CHOCOLATE/38</t>
  </si>
  <si>
    <t>A003|NEGRO/32</t>
  </si>
  <si>
    <t>A003|NEGRO/34</t>
  </si>
  <si>
    <t>A003|NEGRO/36</t>
  </si>
  <si>
    <t>A003|NEGRO/38</t>
  </si>
  <si>
    <t>A003|BEIGE/28</t>
  </si>
  <si>
    <t>A003|BEIGE/30</t>
  </si>
  <si>
    <t>A003|BEIGE/32</t>
  </si>
  <si>
    <t>Color: CELESTE,Talla: 31</t>
  </si>
  <si>
    <t>A003|CELESTE/31</t>
  </si>
  <si>
    <t>A002</t>
  </si>
  <si>
    <t>Color: NEGRO, Talla: XL</t>
  </si>
  <si>
    <t>A002|NEGRO/XL</t>
  </si>
  <si>
    <t>C001|PANTALON FILI ALPI 6</t>
  </si>
  <si>
    <t>CABALLERO / PANTALON / FILIPO ALPI C001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</si>
</sst>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i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0EE9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0" borderId="0" xfId="0" applyFont="1"/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4" fontId="0" fillId="0" borderId="3" xfId="0" applyNumberForma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</cellXfs>
  <cellStyles count="1">
    <cellStyle name="Normal" xfId="0" builtinId="0"/>
  </cellStyles>
  <dxfs count="68"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numFmt numFmtId="4" formatCode="#,##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numFmt numFmtId="4" formatCode="#,##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numFmt numFmtId="4" formatCode="#,##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numFmt numFmtId="4" formatCode="#,##0.00"/>
      <alignment horizontal="center" vertical="center" textRotation="0" wrapText="1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419100</xdr:colOff>
          <xdr:row>1</xdr:row>
          <xdr:rowOff>47625</xdr:rowOff>
        </xdr:from>
        <xdr:to>
          <xdr:col>14</xdr:col>
          <xdr:colOff>685800</xdr:colOff>
          <xdr:row>3</xdr:row>
          <xdr:rowOff>9525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</xdr:row>
          <xdr:rowOff>9525</xdr:rowOff>
        </xdr:from>
        <xdr:to>
          <xdr:col>16</xdr:col>
          <xdr:colOff>381000</xdr:colOff>
          <xdr:row>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57150</xdr:rowOff>
        </xdr:from>
        <xdr:to>
          <xdr:col>10</xdr:col>
          <xdr:colOff>47625</xdr:colOff>
          <xdr:row>4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5</xdr:row>
          <xdr:rowOff>38100</xdr:rowOff>
        </xdr:from>
        <xdr:to>
          <xdr:col>8</xdr:col>
          <xdr:colOff>47625</xdr:colOff>
          <xdr:row>7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4</xdr:row>
          <xdr:rowOff>38100</xdr:rowOff>
        </xdr:from>
        <xdr:to>
          <xdr:col>8</xdr:col>
          <xdr:colOff>342900</xdr:colOff>
          <xdr:row>6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3</xdr:row>
          <xdr:rowOff>76200</xdr:rowOff>
        </xdr:from>
        <xdr:to>
          <xdr:col>4</xdr:col>
          <xdr:colOff>190500</xdr:colOff>
          <xdr:row>6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7FA358DB-9B4D-4009-A078-2C36A817397A}" autoFormatId="16" applyNumberFormats="0" applyBorderFormats="0" applyFontFormats="0" applyPatternFormats="0" applyAlignmentFormats="0" applyWidthHeightFormats="0">
  <queryTableRefresh nextId="10">
    <queryTableFields count="6">
      <queryTableField id="1" name="id" tableColumnId="1"/>
      <queryTableField id="7" name="prod_id" tableColumnId="7"/>
      <queryTableField id="2" name="nombre" tableColumnId="2"/>
      <queryTableField id="3" name="referencia_interna" tableColumnId="3"/>
      <queryTableField id="4" name="categoria" tableColumnId="4"/>
      <queryTableField id="9" name="atributos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8691CCF2-D66A-40A1-A219-A78788AF6371}" autoFormatId="16" applyNumberFormats="0" applyBorderFormats="0" applyFontFormats="0" applyPatternFormats="0" applyAlignmentFormats="0" applyWidthHeightFormats="0">
  <queryTableRefresh nextId="8">
    <queryTableFields count="6">
      <queryTableField id="1" name="id" tableColumnId="1"/>
      <queryTableField id="2" name="variant_id" tableColumnId="2"/>
      <queryTableField id="3" name="nombre" tableColumnId="3"/>
      <queryTableField id="4" name="referencia_interna" tableColumnId="4"/>
      <queryTableField id="6" name="categoria" tableColumnId="6"/>
      <queryTableField id="5" name="producto_id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9BDC48F1-5C5B-400F-9BC3-121714926863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proveedor_nombre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EFB571-4E2A-4C74-ACBC-ED1093FA0123}" name="Tabla2" displayName="Tabla2" ref="A1:M3" totalsRowShown="0" headerRowDxfId="67" dataDxfId="66">
  <autoFilter ref="A1:M3" xr:uid="{56EFB571-4E2A-4C74-ACBC-ED1093FA0123}"/>
  <tableColumns count="13">
    <tableColumn id="2" xr3:uid="{02B66BA7-EABB-4116-B5D3-6EBEAD233003}" name="Activo" dataDxfId="65">
      <calculatedColumnFormula>IF(Tabla2[[#This Row],[Referencia interna]]="","","VERDADERO")</calculatedColumnFormula>
    </tableColumn>
    <tableColumn id="1" xr3:uid="{CB8B2BD5-A474-42A7-9C4E-D017770D155D}" name="No existe en su Base de Datos"/>
    <tableColumn id="3" xr3:uid="{2AF3F2E3-6F17-4EA9-BE5F-921C91BEDC5D}" name="Referencia interna" dataDxfId="64"/>
    <tableColumn id="4" xr3:uid="{80FF987C-2EA4-4D20-9166-7DCDA57C8690}" name="Nombre" dataDxfId="63"/>
    <tableColumn id="5" xr3:uid="{72F1DA74-96E3-47E1-9412-6F2DC753F5FE}" name="Categoría del Producto" dataDxfId="62"/>
    <tableColumn id="6" xr3:uid="{65DAAE08-8872-4905-BE81-093BC5866E90}" name="Atributos del producto / Atributo" dataDxfId="61"/>
    <tableColumn id="7" xr3:uid="{C8B3FDE8-7E6C-4557-B8E3-28E6F21F309F}" name="Atributos del producto / Valores" dataDxfId="60"/>
    <tableColumn id="8" xr3:uid="{8C2AE14C-D648-41A8-B7D8-8D97F2887732}" name="Precio de venta" dataDxfId="59"/>
    <tableColumn id="9" xr3:uid="{A43F1178-09CC-4CBC-8DF3-A0477BB8431A}" name="Tipo" dataDxfId="58">
      <calculatedColumnFormula>IF(Tabla2[[#This Row],[Referencia interna]]="","","Producto almacenable")</calculatedColumnFormula>
    </tableColumn>
    <tableColumn id="10" xr3:uid="{82DEA9AF-F066-42FD-A966-32B7461B314E}" name="Impuestos del cliente" dataDxfId="57">
      <calculatedColumnFormula>IF(Tabla2[[#This Row],[Precio de venta]]="","","0%")</calculatedColumnFormula>
    </tableColumn>
    <tableColumn id="11" xr3:uid="{F429AEBF-E6F5-49A5-BABC-BE8D03755CDE}" name="Disponible en PdV" dataDxfId="56">
      <calculatedColumnFormula>IF(Tabla2[[#This Row],[Referencia interna]]="","","TRUE")</calculatedColumnFormula>
    </tableColumn>
    <tableColumn id="12" xr3:uid="{A5BF7D0C-AD65-4810-B4BB-E03B69B4F027}" name="Se puede comprar" dataDxfId="55">
      <calculatedColumnFormula>IF(Tabla2[[#This Row],[Referencia interna]]="","","TRUE")</calculatedColumnFormula>
    </tableColumn>
    <tableColumn id="13" xr3:uid="{51D4A9F9-A041-4954-B60B-B124783DFCD5}" name="Se puede vender" dataDxfId="54">
      <calculatedColumnFormula>IF(Tabla2[[#This Row],[Referencia interna]]="","","TRUE")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E98E4E-EBC1-4AE7-9101-F99BB6CF6442}" name="Tabla3" displayName="Tabla3" ref="A1:H25" totalsRowShown="0" headerRowDxfId="53" dataDxfId="52">
  <autoFilter ref="A1:H25" xr:uid="{B5E98E4E-EBC1-4AE7-9101-F99BB6CF6442}"/>
  <tableColumns count="8">
    <tableColumn id="1" xr3:uid="{DEA36B97-16E6-4A2E-9414-F8D139B0D633}" name="ID externo" dataDxfId="51"/>
    <tableColumn id="2" xr3:uid="{4E88055A-7E4E-4CF4-A1BE-69B0CCF462FD}" name="Nombre" dataDxfId="50"/>
    <tableColumn id="8" xr3:uid="{9DE26A7F-7E0A-4B7F-BC59-8D6567CB158A}" name="Exportar Aquí Variantes" dataDxfId="49"/>
    <tableColumn id="3" xr3:uid="{2908B963-C398-4F61-B1AA-7315C1B5DAF7}" name="Precio de venta" dataDxfId="48"/>
    <tableColumn id="4" xr3:uid="{A102DE2F-29AD-4F83-ACD3-27611D7D78F5}" name="Costo" dataDxfId="47"/>
    <tableColumn id="7" xr3:uid="{0572FE7E-94E3-4704-9967-1BE3F1C76FA6}" name="Escribir Aquí Referencia" dataDxfId="46"/>
    <tableColumn id="5" xr3:uid="{27F00351-193A-4AB7-98A0-3FF1AD6262D5}" name="Referencia interna" dataDxfId="45"/>
    <tableColumn id="6" xr3:uid="{3510C901-28FD-41A9-B87D-826458A42D08}" name="Peso" dataDxfId="4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565C47-8C00-47A2-844F-99D8D9B8A69F}" name="Tabla4" displayName="Tabla4" ref="A1:H2" totalsRowShown="0" headerRowDxfId="43" dataDxfId="42">
  <autoFilter ref="A1:H2" xr:uid="{75565C47-8C00-47A2-844F-99D8D9B8A69F}"/>
  <tableColumns count="8">
    <tableColumn id="1" xr3:uid="{FD5BDB7D-C218-4ACF-88BF-DA81FB75ECE4}" name="Empresa" dataDxfId="41">
      <calculatedColumnFormula>IF(Tabla4[[#This Row],[Proveedor]]="","","KdoshStore HUANUCO")</calculatedColumnFormula>
    </tableColumn>
    <tableColumn id="2" xr3:uid="{FD635246-1CD6-4513-A192-EC44ECB77D79}" name="Prioridad" dataDxfId="40">
      <calculatedColumnFormula>IF(Tabla4[[#This Row],[Proveedor]]="","","Normal")</calculatedColumnFormula>
    </tableColumn>
    <tableColumn id="3" xr3:uid="{4DC23DB8-B716-403C-910D-557A1032D14B}" name="Proveedor" dataDxfId="39"/>
    <tableColumn id="4" xr3:uid="{CE0F52F6-8BE3-46F9-984E-9DB0E8E0288D}" name="Referencia de proveedor" dataDxfId="38"/>
    <tableColumn id="5" xr3:uid="{8AFC0AC4-7F1E-4A91-8E9C-5A3D0EB82597}" name="Líneas de la orden / Producto" dataDxfId="37"/>
    <tableColumn id="6" xr3:uid="{CA6BF115-7122-4A14-881E-4E393ADE92DD}" name="Líneas de la orden / Precio unitario" dataDxfId="36"/>
    <tableColumn id="7" xr3:uid="{E1B2EF5B-89D3-4697-A76E-2B887EF50541}" name="Líneas de la orden / Cantidad" dataDxfId="35"/>
    <tableColumn id="8" xr3:uid="{F63D3B00-1976-4F83-A2A6-629C8E2C2799}" name="Líneas de la orden / Impuestos" dataDxfId="34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B0C9783-C08D-4B26-A4AD-DFB2DB6718CC}" name="Tabla29" displayName="Tabla29" ref="A1:L3" totalsRowShown="0" headerRowDxfId="33" dataDxfId="32">
  <autoFilter ref="A1:L3" xr:uid="{5B0C9783-C08D-4B26-A4AD-DFB2DB6718CC}"/>
  <tableColumns count="12">
    <tableColumn id="2" xr3:uid="{ECAD526A-5F86-4281-8D75-511103237964}" name="Activo" dataDxfId="31">
      <calculatedColumnFormula>IF(Tabla29[[#This Row],[Nombre]]="","","VERDADERO")</calculatedColumnFormula>
    </tableColumn>
    <tableColumn id="3" xr3:uid="{3B8AF2F8-14BC-4CF0-9214-738D730D2F04}" name="Nombre" dataDxfId="30"/>
    <tableColumn id="4" xr3:uid="{BCCB5CCB-BF2E-43C1-B326-70AC68D54106}" name="Referencia interna" dataDxfId="29"/>
    <tableColumn id="5" xr3:uid="{FC5A4140-0D23-4959-AE7C-B10DE42963A1}" name="Categoría del producto" dataDxfId="28"/>
    <tableColumn id="6" xr3:uid="{84E932DE-CF2B-44C0-B3A5-5EAB8010F9E0}" name="Atributos del producto / Atributo" dataDxfId="27"/>
    <tableColumn id="7" xr3:uid="{39D473C1-BDA8-4DDB-B795-10AA55DF2061}" name="Atributos del producto / Valores" dataDxfId="26"/>
    <tableColumn id="8" xr3:uid="{F923EF2C-6EFA-464D-8CFD-C8821E0724D4}" name="Precio de venta" dataDxfId="25"/>
    <tableColumn id="9" xr3:uid="{008C6064-3FF3-4F08-8445-AB7377562DBC}" name="Tipo" dataDxfId="24">
      <calculatedColumnFormula>IF(Tabla29[[#This Row],[Nombre]]="","","Producto almacenable")</calculatedColumnFormula>
    </tableColumn>
    <tableColumn id="10" xr3:uid="{9E7C9B96-7569-4E84-8278-D8C2EDF83284}" name="Impuestos del cliente" dataDxfId="23">
      <calculatedColumnFormula>IF(Tabla29[[#This Row],[Precio de venta]]="","","0%")</calculatedColumnFormula>
    </tableColumn>
    <tableColumn id="11" xr3:uid="{7BD055DE-BA19-4D86-AC82-10A0A3DB4217}" name="Disponible en PdV" dataDxfId="22">
      <calculatedColumnFormula>IF(Tabla29[[#This Row],[Nombre]]="","","TRUE")</calculatedColumnFormula>
    </tableColumn>
    <tableColumn id="12" xr3:uid="{C50FA8D9-ED95-4510-B764-E9C90A25893F}" name="Se puede comprar" dataDxfId="21">
      <calculatedColumnFormula>IF(Tabla29[[#This Row],[Nombre]]="","","TRUE")</calculatedColumnFormula>
    </tableColumn>
    <tableColumn id="13" xr3:uid="{A90438C5-B870-402F-ADD7-402E8B3B6A56}" name="Se puede vender" dataDxfId="20">
      <calculatedColumnFormula>IF(Tabla29[[#This Row],[Nombre]]="","","TRUE")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43EC87F-1B38-4FB2-907D-852494210ADA}" name="odoo_bd_productos" displayName="odoo_bd_productos" ref="A1:F13" tableType="queryTable" totalsRowShown="0" headerRowDxfId="19" dataDxfId="18">
  <autoFilter ref="A1:F13" xr:uid="{C43EC87F-1B38-4FB2-907D-852494210ADA}"/>
  <tableColumns count="6">
    <tableColumn id="1" xr3:uid="{96D532F1-A2F1-4909-9FAA-70514BC545D6}" uniqueName="1" name="id" queryTableFieldId="1" dataDxfId="17"/>
    <tableColumn id="7" xr3:uid="{6A5A6F77-8177-4A76-BB13-66C3C59DC25B}" uniqueName="7" name="prod_id" queryTableFieldId="7" dataDxfId="16"/>
    <tableColumn id="2" xr3:uid="{2A8A7054-4C04-4747-A325-B471E3359CF2}" uniqueName="2" name="nombre" queryTableFieldId="2" dataDxfId="15"/>
    <tableColumn id="3" xr3:uid="{5FE33CDC-40A9-4033-BE1B-4C8EF2AB06A8}" uniqueName="3" name="referencia_interna" queryTableFieldId="3" dataDxfId="14"/>
    <tableColumn id="4" xr3:uid="{C40929D3-9B26-4C44-AC68-76CA2D0C796E}" uniqueName="4" name="categoria" queryTableFieldId="4" dataDxfId="13"/>
    <tableColumn id="5" xr3:uid="{0DE39C3C-215C-4FE9-8D78-A37C96A9B7BA}" uniqueName="5" name="atributos" queryTableFieldId="9" dataDxf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3A011B-9C62-403A-9B44-1FB764B8A8CE}" name="odoo_bd_variantes" displayName="odoo_bd_variantes" ref="A1:F109" tableType="queryTable" totalsRowShown="0" headerRowDxfId="11" dataDxfId="10">
  <autoFilter ref="A1:F109" xr:uid="{FE3A011B-9C62-403A-9B44-1FB764B8A8CE}"/>
  <tableColumns count="6">
    <tableColumn id="1" xr3:uid="{303AB808-1EE9-45D7-980D-3CA096720563}" uniqueName="1" name="id" queryTableFieldId="1" dataDxfId="9"/>
    <tableColumn id="2" xr3:uid="{4987D1AA-FD16-4CC9-A8FD-4D0CFE7865CE}" uniqueName="2" name="variant_id" queryTableFieldId="2" dataDxfId="8"/>
    <tableColumn id="3" xr3:uid="{B0456899-4E2F-4267-823E-7CE48B1EB27A}" uniqueName="3" name="nombre" queryTableFieldId="3" dataDxfId="7"/>
    <tableColumn id="4" xr3:uid="{27119661-5B16-463B-A1CB-68D4E85A65D7}" uniqueName="4" name="referencia_interna" queryTableFieldId="4" dataDxfId="6"/>
    <tableColumn id="6" xr3:uid="{C7310378-BF7A-460D-A424-DEC00293DA05}" uniqueName="6" name="categoria" queryTableFieldId="6" dataDxfId="5"/>
    <tableColumn id="5" xr3:uid="{71ABC950-27A7-48D6-966C-1D25E8D75E38}" uniqueName="5" name="producto_id" queryTableFieldId="5" dataDxfId="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94B110-5A75-4EA3-B76B-3B600CE64026}" name="odoo_bd_proveedores" displayName="odoo_bd_proveedores" ref="A1:B23" tableType="queryTable" totalsRowShown="0" headerRowDxfId="3" dataDxfId="2">
  <autoFilter ref="A1:B23" xr:uid="{E094B110-5A75-4EA3-B76B-3B600CE64026}"/>
  <tableColumns count="2">
    <tableColumn id="1" xr3:uid="{213DCF29-698B-4212-841C-641F7B47DB5E}" uniqueName="1" name="id" queryTableFieldId="1" dataDxfId="1"/>
    <tableColumn id="2" xr3:uid="{70B78AF5-4224-470F-8A5D-957F61FDC849}" uniqueName="2" name="proveedor_nombre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18E53-274C-43B5-BFF2-4F046B71AADE}">
  <sheetPr codeName="Hoja1"/>
  <dimension ref="A1:M12"/>
  <sheetViews>
    <sheetView tabSelected="1" topLeftCell="B1" zoomScale="70" zoomScaleNormal="70" workbookViewId="0">
      <selection activeCell="E14" sqref="E14"/>
    </sheetView>
  </sheetViews>
  <sheetFormatPr baseColWidth="10" defaultRowHeight="15" x14ac:dyDescent="0.25"/>
  <cols>
    <col min="1" max="1" width="12" style="1" hidden="1" customWidth="1"/>
    <col min="2" max="2" width="32.28515625" style="1" bestFit="1" customWidth="1"/>
    <col min="3" max="3" width="22.140625" style="1" bestFit="1" customWidth="1"/>
    <col min="4" max="4" width="36.7109375" style="1" customWidth="1"/>
    <col min="5" max="5" width="64.42578125" style="1" bestFit="1" customWidth="1"/>
    <col min="6" max="6" width="30.5703125" style="1" bestFit="1" customWidth="1"/>
    <col min="7" max="7" width="29.85546875" style="1" bestFit="1" customWidth="1"/>
    <col min="8" max="8" width="26" style="1" bestFit="1" customWidth="1"/>
    <col min="9" max="9" width="20.85546875" style="1" hidden="1" customWidth="1"/>
    <col min="10" max="10" width="20.28515625" style="1" hidden="1" customWidth="1"/>
    <col min="11" max="11" width="17.42578125" style="1" hidden="1" customWidth="1"/>
    <col min="12" max="12" width="17.140625" style="1" hidden="1" customWidth="1"/>
    <col min="13" max="13" width="20.7109375" style="1" hidden="1" customWidth="1"/>
  </cols>
  <sheetData>
    <row r="1" spans="1:13" x14ac:dyDescent="0.25">
      <c r="A1" s="1" t="s">
        <v>12</v>
      </c>
      <c r="B1" s="1" t="s">
        <v>60</v>
      </c>
      <c r="C1" s="1" t="s">
        <v>7</v>
      </c>
      <c r="D1" s="1" t="s">
        <v>6</v>
      </c>
      <c r="E1" s="1" t="s">
        <v>117</v>
      </c>
      <c r="F1" s="1" t="s">
        <v>0</v>
      </c>
      <c r="G1" s="1" t="s">
        <v>1</v>
      </c>
      <c r="H1" s="1" t="s">
        <v>9</v>
      </c>
      <c r="I1" s="1" t="s">
        <v>10</v>
      </c>
      <c r="J1" s="1" t="s">
        <v>11</v>
      </c>
      <c r="K1" s="1" t="s">
        <v>2</v>
      </c>
      <c r="L1" s="1" t="s">
        <v>3</v>
      </c>
      <c r="M1" s="1" t="s">
        <v>4</v>
      </c>
    </row>
    <row r="2" spans="1:13" x14ac:dyDescent="0.25">
      <c r="A2" s="1" t="str">
        <f>IF(Tabla2[[#This Row],[Referencia interna]]="","","VERDADERO")</f>
        <v>VERDADERO</v>
      </c>
      <c r="B2" s="4" t="s">
        <v>116</v>
      </c>
      <c r="C2" s="1">
        <v>984</v>
      </c>
      <c r="D2" s="1" t="s">
        <v>118</v>
      </c>
      <c r="E2" s="1" t="s">
        <v>74</v>
      </c>
      <c r="F2" s="1" t="s">
        <v>14</v>
      </c>
      <c r="G2" s="1" t="s">
        <v>49</v>
      </c>
      <c r="H2" s="1">
        <v>500</v>
      </c>
      <c r="I2" s="1" t="str">
        <f>IF(Tabla2[[#This Row],[Referencia interna]]="","","Producto almacenable")</f>
        <v>Producto almacenable</v>
      </c>
      <c r="J2" s="1" t="str">
        <f>IF(Tabla2[[#This Row],[Precio de venta]]="","","0%")</f>
        <v>0%</v>
      </c>
      <c r="K2" s="1" t="str">
        <f>IF(Tabla2[[#This Row],[Referencia interna]]="","","TRUE")</f>
        <v>TRUE</v>
      </c>
      <c r="L2" s="1" t="str">
        <f>IF(Tabla2[[#This Row],[Referencia interna]]="","","TRUE")</f>
        <v>TRUE</v>
      </c>
      <c r="M2" s="1" t="str">
        <f>IF(Tabla2[[#This Row],[Referencia interna]]="","","TRUE")</f>
        <v>TRUE</v>
      </c>
    </row>
    <row r="3" spans="1:13" s="1" customFormat="1" x14ac:dyDescent="0.25">
      <c r="A3" s="1" t="str">
        <f>IF(Tabla2[[#This Row],[Referencia interna]]="","","VERDADERO")</f>
        <v/>
      </c>
      <c r="B3" s="17"/>
      <c r="I3" s="1" t="str">
        <f>IF(Tabla2[[#This Row],[Referencia interna]]="","","Producto almacenable")</f>
        <v/>
      </c>
      <c r="J3" s="1" t="str">
        <f>IF(Tabla2[[#This Row],[Precio de venta]]="","","0%")</f>
        <v/>
      </c>
      <c r="K3" s="1" t="str">
        <f>IF(Tabla2[[#This Row],[Referencia interna]]="","","TRUE")</f>
        <v/>
      </c>
      <c r="L3" s="1" t="str">
        <f>IF(Tabla2[[#This Row],[Referencia interna]]="","","TRUE")</f>
        <v/>
      </c>
      <c r="M3" s="1" t="str">
        <f>IF(Tabla2[[#This Row],[Referencia interna]]="","","TRUE")</f>
        <v/>
      </c>
    </row>
    <row r="4" spans="1:13" s="1" customFormat="1" x14ac:dyDescent="0.25"/>
    <row r="5" spans="1:13" s="1" customFormat="1" x14ac:dyDescent="0.25"/>
    <row r="6" spans="1:13" s="1" customFormat="1" x14ac:dyDescent="0.25"/>
    <row r="12" spans="1:13" x14ac:dyDescent="0.25">
      <c r="B12" s="1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autoPict="0" r:id="rId4">
            <anchor moveWithCells="1">
              <from>
                <xdr:col>13</xdr:col>
                <xdr:colOff>419100</xdr:colOff>
                <xdr:row>1</xdr:row>
                <xdr:rowOff>47625</xdr:rowOff>
              </from>
              <to>
                <xdr:col>14</xdr:col>
                <xdr:colOff>685800</xdr:colOff>
                <xdr:row>3</xdr:row>
                <xdr:rowOff>9525</xdr:rowOff>
              </to>
            </anchor>
          </controlPr>
        </control>
      </mc:Choice>
      <mc:Fallback>
        <control shapeId="2051" r:id="rId3" name="CommandButton1"/>
      </mc:Fallback>
    </mc:AlternateContent>
    <mc:AlternateContent xmlns:mc="http://schemas.openxmlformats.org/markup-compatibility/2006">
      <mc:Choice Requires="x14">
        <control shapeId="2052" r:id="rId5" name="Button 4">
          <controlPr defaultSize="0" print="0" autoFill="0" autoPict="0" macro="[0]!Botón4_Haga_clic_en">
            <anchor moveWithCells="1" sizeWithCells="1">
              <from>
                <xdr:col>15</xdr:col>
                <xdr:colOff>114300</xdr:colOff>
                <xdr:row>1</xdr:row>
                <xdr:rowOff>9525</xdr:rowOff>
              </from>
              <to>
                <xdr:col>16</xdr:col>
                <xdr:colOff>381000</xdr:colOff>
                <xdr:row>3</xdr:row>
                <xdr:rowOff>0</xdr:rowOff>
              </to>
            </anchor>
          </controlPr>
        </control>
      </mc:Choice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36383-3D85-4CDC-9449-95E8E0BD8EC6}">
  <sheetPr codeName="Hoja2"/>
  <dimension ref="A1:H25"/>
  <sheetViews>
    <sheetView topLeftCell="B1" zoomScale="115" zoomScaleNormal="115" workbookViewId="0">
      <selection activeCell="G8" sqref="G8"/>
    </sheetView>
  </sheetViews>
  <sheetFormatPr baseColWidth="10" defaultRowHeight="15" x14ac:dyDescent="0.25"/>
  <cols>
    <col min="1" max="1" width="44.42578125" style="1" customWidth="1"/>
    <col min="2" max="2" width="35.42578125" style="1" customWidth="1"/>
    <col min="3" max="3" width="26.7109375" style="1" bestFit="1" customWidth="1"/>
    <col min="4" max="5" width="20" style="1" customWidth="1"/>
    <col min="6" max="6" width="26.85546875" style="1" bestFit="1" customWidth="1"/>
    <col min="7" max="7" width="22.140625" style="1" bestFit="1" customWidth="1"/>
    <col min="8" max="8" width="9.85546875" style="1" bestFit="1" customWidth="1"/>
  </cols>
  <sheetData>
    <row r="1" spans="1:8" x14ac:dyDescent="0.25">
      <c r="A1" s="6" t="s">
        <v>18</v>
      </c>
      <c r="B1" s="6" t="s">
        <v>6</v>
      </c>
      <c r="C1" s="7" t="s">
        <v>195</v>
      </c>
      <c r="D1" s="1" t="s">
        <v>9</v>
      </c>
      <c r="E1" s="1" t="s">
        <v>19</v>
      </c>
      <c r="F1" s="7" t="s">
        <v>171</v>
      </c>
      <c r="G1" s="1" t="s">
        <v>7</v>
      </c>
      <c r="H1" s="1" t="s">
        <v>20</v>
      </c>
    </row>
    <row r="2" spans="1:8" x14ac:dyDescent="0.25">
      <c r="A2" s="9" t="s">
        <v>125</v>
      </c>
      <c r="B2" s="10" t="s">
        <v>36</v>
      </c>
      <c r="C2" s="10" t="s">
        <v>248</v>
      </c>
      <c r="D2" s="11"/>
      <c r="E2" s="12"/>
      <c r="F2" s="12" t="s">
        <v>247</v>
      </c>
      <c r="G2" s="2" t="s">
        <v>249</v>
      </c>
      <c r="H2" s="2"/>
    </row>
    <row r="3" spans="1:8" x14ac:dyDescent="0.25">
      <c r="A3" s="9" t="s">
        <v>126</v>
      </c>
      <c r="B3" s="10" t="s">
        <v>36</v>
      </c>
      <c r="C3" s="10" t="s">
        <v>245</v>
      </c>
      <c r="D3" s="11"/>
      <c r="E3" s="12"/>
      <c r="F3" s="12" t="s">
        <v>222</v>
      </c>
      <c r="G3" s="1" t="s">
        <v>246</v>
      </c>
      <c r="H3" s="2"/>
    </row>
    <row r="4" spans="1:8" x14ac:dyDescent="0.25">
      <c r="A4" s="9" t="s">
        <v>127</v>
      </c>
      <c r="B4" s="10" t="s">
        <v>36</v>
      </c>
      <c r="C4" s="10" t="s">
        <v>128</v>
      </c>
      <c r="D4" s="11"/>
      <c r="E4" s="12"/>
      <c r="F4" s="12" t="s">
        <v>222</v>
      </c>
      <c r="G4" s="1" t="s">
        <v>223</v>
      </c>
      <c r="H4" s="2"/>
    </row>
    <row r="5" spans="1:8" x14ac:dyDescent="0.25">
      <c r="A5" s="9" t="s">
        <v>129</v>
      </c>
      <c r="B5" s="10" t="s">
        <v>36</v>
      </c>
      <c r="C5" s="10" t="s">
        <v>130</v>
      </c>
      <c r="D5" s="11"/>
      <c r="E5" s="12"/>
      <c r="F5" s="12" t="s">
        <v>222</v>
      </c>
      <c r="G5" s="1" t="s">
        <v>224</v>
      </c>
      <c r="H5" s="2"/>
    </row>
    <row r="6" spans="1:8" x14ac:dyDescent="0.25">
      <c r="A6" s="9" t="s">
        <v>131</v>
      </c>
      <c r="B6" s="10" t="s">
        <v>36</v>
      </c>
      <c r="C6" s="10" t="s">
        <v>132</v>
      </c>
      <c r="D6" s="11"/>
      <c r="E6" s="12"/>
      <c r="F6" s="12" t="s">
        <v>222</v>
      </c>
      <c r="G6" s="1" t="s">
        <v>225</v>
      </c>
      <c r="H6" s="2"/>
    </row>
    <row r="7" spans="1:8" x14ac:dyDescent="0.25">
      <c r="A7" s="9" t="s">
        <v>133</v>
      </c>
      <c r="B7" s="10" t="s">
        <v>36</v>
      </c>
      <c r="C7" s="10" t="s">
        <v>134</v>
      </c>
      <c r="D7" s="11"/>
      <c r="E7" s="12"/>
      <c r="F7" s="12" t="s">
        <v>222</v>
      </c>
      <c r="G7" s="1" t="s">
        <v>226</v>
      </c>
      <c r="H7" s="2"/>
    </row>
    <row r="8" spans="1:8" x14ac:dyDescent="0.25">
      <c r="A8" s="9" t="s">
        <v>135</v>
      </c>
      <c r="B8" s="10" t="s">
        <v>36</v>
      </c>
      <c r="C8" s="10" t="s">
        <v>136</v>
      </c>
      <c r="D8" s="11"/>
      <c r="E8" s="12"/>
      <c r="F8" s="12" t="s">
        <v>222</v>
      </c>
      <c r="G8" s="1" t="s">
        <v>227</v>
      </c>
      <c r="H8" s="2"/>
    </row>
    <row r="9" spans="1:8" x14ac:dyDescent="0.25">
      <c r="A9" s="9" t="s">
        <v>137</v>
      </c>
      <c r="B9" s="10" t="s">
        <v>36</v>
      </c>
      <c r="C9" s="10" t="s">
        <v>138</v>
      </c>
      <c r="D9" s="11"/>
      <c r="E9" s="12"/>
      <c r="F9" s="12" t="s">
        <v>222</v>
      </c>
      <c r="G9" s="1" t="s">
        <v>228</v>
      </c>
      <c r="H9" s="2"/>
    </row>
    <row r="10" spans="1:8" x14ac:dyDescent="0.25">
      <c r="A10" s="9" t="s">
        <v>139</v>
      </c>
      <c r="B10" s="10" t="s">
        <v>36</v>
      </c>
      <c r="C10" s="10" t="s">
        <v>140</v>
      </c>
      <c r="D10" s="11"/>
      <c r="E10" s="12"/>
      <c r="F10" s="12" t="s">
        <v>222</v>
      </c>
      <c r="G10" s="1" t="s">
        <v>229</v>
      </c>
      <c r="H10" s="2"/>
    </row>
    <row r="11" spans="1:8" x14ac:dyDescent="0.25">
      <c r="A11" s="9" t="s">
        <v>141</v>
      </c>
      <c r="B11" s="10" t="s">
        <v>36</v>
      </c>
      <c r="C11" s="10" t="s">
        <v>142</v>
      </c>
      <c r="D11" s="11"/>
      <c r="E11" s="12"/>
      <c r="F11" s="12" t="s">
        <v>222</v>
      </c>
      <c r="G11" s="1" t="s">
        <v>230</v>
      </c>
      <c r="H11" s="2"/>
    </row>
    <row r="12" spans="1:8" x14ac:dyDescent="0.25">
      <c r="A12" s="9" t="s">
        <v>143</v>
      </c>
      <c r="B12" s="10" t="s">
        <v>36</v>
      </c>
      <c r="C12" s="10" t="s">
        <v>144</v>
      </c>
      <c r="D12" s="11"/>
      <c r="E12" s="12"/>
      <c r="F12" s="12" t="s">
        <v>222</v>
      </c>
      <c r="G12" s="1" t="s">
        <v>231</v>
      </c>
      <c r="H12" s="2"/>
    </row>
    <row r="13" spans="1:8" x14ac:dyDescent="0.25">
      <c r="A13" s="9" t="s">
        <v>145</v>
      </c>
      <c r="B13" s="10" t="s">
        <v>36</v>
      </c>
      <c r="C13" s="10" t="s">
        <v>146</v>
      </c>
      <c r="D13" s="11"/>
      <c r="E13" s="12"/>
      <c r="F13" s="12" t="s">
        <v>222</v>
      </c>
      <c r="G13" s="1" t="s">
        <v>232</v>
      </c>
      <c r="H13" s="2"/>
    </row>
    <row r="14" spans="1:8" x14ac:dyDescent="0.25">
      <c r="A14" s="9" t="s">
        <v>147</v>
      </c>
      <c r="B14" s="10" t="s">
        <v>36</v>
      </c>
      <c r="C14" s="10" t="s">
        <v>148</v>
      </c>
      <c r="D14" s="11"/>
      <c r="E14" s="12"/>
      <c r="F14" s="12" t="s">
        <v>222</v>
      </c>
      <c r="G14" s="1" t="s">
        <v>233</v>
      </c>
      <c r="H14" s="2"/>
    </row>
    <row r="15" spans="1:8" x14ac:dyDescent="0.25">
      <c r="A15" s="9" t="s">
        <v>149</v>
      </c>
      <c r="B15" s="10" t="s">
        <v>36</v>
      </c>
      <c r="C15" s="10" t="s">
        <v>150</v>
      </c>
      <c r="D15" s="11"/>
      <c r="E15" s="12"/>
      <c r="F15" s="12" t="s">
        <v>222</v>
      </c>
      <c r="G15" s="1" t="s">
        <v>234</v>
      </c>
      <c r="H15" s="2"/>
    </row>
    <row r="16" spans="1:8" x14ac:dyDescent="0.25">
      <c r="A16" s="9" t="s">
        <v>151</v>
      </c>
      <c r="B16" s="10" t="s">
        <v>36</v>
      </c>
      <c r="C16" s="10" t="s">
        <v>152</v>
      </c>
      <c r="D16" s="11"/>
      <c r="E16" s="12"/>
      <c r="F16" s="12" t="s">
        <v>222</v>
      </c>
      <c r="G16" s="1" t="s">
        <v>235</v>
      </c>
      <c r="H16" s="2"/>
    </row>
    <row r="17" spans="1:8" x14ac:dyDescent="0.25">
      <c r="A17" s="9" t="s">
        <v>153</v>
      </c>
      <c r="B17" s="10" t="s">
        <v>36</v>
      </c>
      <c r="C17" s="10" t="s">
        <v>154</v>
      </c>
      <c r="D17" s="11"/>
      <c r="E17" s="12"/>
      <c r="F17" s="12" t="s">
        <v>222</v>
      </c>
      <c r="G17" s="1" t="s">
        <v>236</v>
      </c>
      <c r="H17" s="2"/>
    </row>
    <row r="18" spans="1:8" x14ac:dyDescent="0.25">
      <c r="A18" s="9" t="s">
        <v>155</v>
      </c>
      <c r="B18" s="10" t="s">
        <v>36</v>
      </c>
      <c r="C18" s="10" t="s">
        <v>156</v>
      </c>
      <c r="D18" s="11"/>
      <c r="E18" s="12"/>
      <c r="F18" s="12" t="s">
        <v>222</v>
      </c>
      <c r="G18" s="1" t="s">
        <v>237</v>
      </c>
      <c r="H18" s="2"/>
    </row>
    <row r="19" spans="1:8" x14ac:dyDescent="0.25">
      <c r="A19" s="9" t="s">
        <v>157</v>
      </c>
      <c r="B19" s="10" t="s">
        <v>36</v>
      </c>
      <c r="C19" s="10" t="s">
        <v>158</v>
      </c>
      <c r="D19" s="11"/>
      <c r="E19" s="12"/>
      <c r="F19" s="12" t="s">
        <v>222</v>
      </c>
      <c r="G19" s="1" t="s">
        <v>238</v>
      </c>
      <c r="H19" s="2"/>
    </row>
    <row r="20" spans="1:8" x14ac:dyDescent="0.25">
      <c r="A20" s="9" t="s">
        <v>159</v>
      </c>
      <c r="B20" s="10" t="s">
        <v>36</v>
      </c>
      <c r="C20" s="10" t="s">
        <v>160</v>
      </c>
      <c r="D20" s="11"/>
      <c r="E20" s="12"/>
      <c r="F20" s="12" t="s">
        <v>222</v>
      </c>
      <c r="G20" s="1" t="s">
        <v>239</v>
      </c>
      <c r="H20" s="2"/>
    </row>
    <row r="21" spans="1:8" x14ac:dyDescent="0.25">
      <c r="A21" s="9" t="s">
        <v>161</v>
      </c>
      <c r="B21" s="10" t="s">
        <v>36</v>
      </c>
      <c r="C21" s="10" t="s">
        <v>162</v>
      </c>
      <c r="D21" s="11"/>
      <c r="E21" s="12"/>
      <c r="F21" s="12" t="s">
        <v>222</v>
      </c>
      <c r="G21" s="1" t="s">
        <v>240</v>
      </c>
      <c r="H21" s="2"/>
    </row>
    <row r="22" spans="1:8" x14ac:dyDescent="0.25">
      <c r="A22" s="9" t="s">
        <v>163</v>
      </c>
      <c r="B22" s="10" t="s">
        <v>36</v>
      </c>
      <c r="C22" s="10" t="s">
        <v>164</v>
      </c>
      <c r="D22" s="11"/>
      <c r="E22" s="12"/>
      <c r="F22" s="12" t="s">
        <v>222</v>
      </c>
      <c r="G22" s="1" t="s">
        <v>241</v>
      </c>
      <c r="H22" s="2"/>
    </row>
    <row r="23" spans="1:8" x14ac:dyDescent="0.25">
      <c r="A23" s="9" t="s">
        <v>165</v>
      </c>
      <c r="B23" s="10" t="s">
        <v>36</v>
      </c>
      <c r="C23" s="10" t="s">
        <v>166</v>
      </c>
      <c r="D23" s="11"/>
      <c r="E23" s="12"/>
      <c r="F23" s="12" t="s">
        <v>222</v>
      </c>
      <c r="G23" s="1" t="s">
        <v>242</v>
      </c>
      <c r="H23" s="2"/>
    </row>
    <row r="24" spans="1:8" x14ac:dyDescent="0.25">
      <c r="A24" s="9" t="s">
        <v>167</v>
      </c>
      <c r="B24" s="10" t="s">
        <v>36</v>
      </c>
      <c r="C24" s="10" t="s">
        <v>168</v>
      </c>
      <c r="D24" s="11"/>
      <c r="E24" s="12"/>
      <c r="F24" s="12" t="s">
        <v>222</v>
      </c>
      <c r="G24" s="1" t="s">
        <v>243</v>
      </c>
      <c r="H24" s="2"/>
    </row>
    <row r="25" spans="1:8" x14ac:dyDescent="0.25">
      <c r="A25" s="13" t="s">
        <v>169</v>
      </c>
      <c r="B25" s="14" t="s">
        <v>36</v>
      </c>
      <c r="C25" s="14" t="s">
        <v>170</v>
      </c>
      <c r="D25" s="15"/>
      <c r="E25" s="16"/>
      <c r="F25" s="12" t="s">
        <v>222</v>
      </c>
      <c r="G25" s="1" t="s">
        <v>244</v>
      </c>
      <c r="H25" s="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BCC41-36F6-4326-B70F-8F3C240199E8}">
  <sheetPr codeName="Hoja3"/>
  <dimension ref="A1:K12"/>
  <sheetViews>
    <sheetView topLeftCell="C1" workbookViewId="0">
      <selection activeCell="F15" sqref="F15"/>
    </sheetView>
  </sheetViews>
  <sheetFormatPr baseColWidth="10" defaultRowHeight="15" x14ac:dyDescent="0.25"/>
  <cols>
    <col min="1" max="1" width="20.85546875" style="1" hidden="1" customWidth="1"/>
    <col min="2" max="2" width="15.28515625" style="1" hidden="1" customWidth="1"/>
    <col min="3" max="3" width="26.42578125" style="1" bestFit="1" customWidth="1"/>
    <col min="4" max="4" width="25" style="1" customWidth="1"/>
    <col min="5" max="5" width="52.7109375" style="1" bestFit="1" customWidth="1"/>
    <col min="6" max="6" width="36.85546875" style="1" bestFit="1" customWidth="1"/>
    <col min="7" max="7" width="29.28515625" style="1" customWidth="1"/>
    <col min="8" max="8" width="28.28515625" style="1" hidden="1" customWidth="1"/>
    <col min="11" max="11" width="52.7109375" bestFit="1" customWidth="1"/>
  </cols>
  <sheetData>
    <row r="1" spans="1:11" x14ac:dyDescent="0.25">
      <c r="A1" s="1" t="s">
        <v>21</v>
      </c>
      <c r="B1" s="1" t="s">
        <v>22</v>
      </c>
      <c r="C1" s="1" t="s">
        <v>23</v>
      </c>
      <c r="D1" s="1" t="s">
        <v>24</v>
      </c>
      <c r="E1" s="1" t="s">
        <v>25</v>
      </c>
      <c r="F1" s="1" t="s">
        <v>26</v>
      </c>
      <c r="G1" s="1" t="s">
        <v>27</v>
      </c>
      <c r="H1" s="1" t="s">
        <v>28</v>
      </c>
    </row>
    <row r="2" spans="1:11" x14ac:dyDescent="0.25">
      <c r="A2" s="1" t="str">
        <f>IF(Tabla4[[#This Row],[Proveedor]]="","","KdoshStore HUANUCO")</f>
        <v/>
      </c>
      <c r="B2" s="1" t="str">
        <f>IF(Tabla4[[#This Row],[Proveedor]]="","","Normal")</f>
        <v/>
      </c>
      <c r="J2" t="s">
        <v>29</v>
      </c>
    </row>
    <row r="3" spans="1:11" x14ac:dyDescent="0.25">
      <c r="J3" t="s">
        <v>30</v>
      </c>
    </row>
    <row r="6" spans="1:11" x14ac:dyDescent="0.25">
      <c r="K6" s="8" t="s">
        <v>196</v>
      </c>
    </row>
    <row r="7" spans="1:11" x14ac:dyDescent="0.25">
      <c r="K7" t="s">
        <v>119</v>
      </c>
    </row>
    <row r="8" spans="1:11" x14ac:dyDescent="0.25">
      <c r="K8" t="s">
        <v>120</v>
      </c>
    </row>
    <row r="9" spans="1:11" x14ac:dyDescent="0.25">
      <c r="K9" t="s">
        <v>121</v>
      </c>
    </row>
    <row r="10" spans="1:11" x14ac:dyDescent="0.25">
      <c r="J10" s="5"/>
      <c r="K10" t="s">
        <v>122</v>
      </c>
    </row>
    <row r="11" spans="1:11" x14ac:dyDescent="0.25">
      <c r="K11" t="s">
        <v>123</v>
      </c>
    </row>
    <row r="12" spans="1:11" x14ac:dyDescent="0.25">
      <c r="K12" t="s">
        <v>124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Hoja3.ListaEnColumna">
                <anchor moveWithCells="1" sizeWithCells="1">
                  <from>
                    <xdr:col>9</xdr:col>
                    <xdr:colOff>9525</xdr:colOff>
                    <xdr:row>3</xdr:row>
                    <xdr:rowOff>57150</xdr:rowOff>
                  </from>
                  <to>
                    <xdr:col>10</xdr:col>
                    <xdr:colOff>47625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847C90-803F-4404-87B8-B0A38B92D223}">
          <x14:formula1>
            <xm:f>'Base de Datos Proveedores'!$B:$B</xm:f>
          </x14:formula1>
          <xm:sqref>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0880C-3339-4974-8864-DE902928C125}">
  <sheetPr codeName="Hoja4"/>
  <dimension ref="A1:L3"/>
  <sheetViews>
    <sheetView topLeftCell="B1" zoomScaleNormal="100" workbookViewId="0">
      <selection activeCell="B6" sqref="B6"/>
    </sheetView>
  </sheetViews>
  <sheetFormatPr baseColWidth="10" defaultRowHeight="15" x14ac:dyDescent="0.25"/>
  <cols>
    <col min="1" max="1" width="12" style="1" hidden="1" customWidth="1"/>
    <col min="2" max="2" width="56" style="1" customWidth="1"/>
    <col min="3" max="3" width="22.140625" style="1" bestFit="1" customWidth="1"/>
    <col min="4" max="4" width="26" style="1" bestFit="1" customWidth="1"/>
    <col min="5" max="5" width="35.140625" style="1" bestFit="1" customWidth="1"/>
    <col min="6" max="6" width="34.42578125" style="1" bestFit="1" customWidth="1"/>
    <col min="7" max="7" width="19.28515625" style="1" bestFit="1" customWidth="1"/>
    <col min="8" max="8" width="20.85546875" style="1" hidden="1" customWidth="1"/>
    <col min="9" max="9" width="20.28515625" style="1" hidden="1" customWidth="1"/>
    <col min="10" max="10" width="17.42578125" style="1" hidden="1" customWidth="1"/>
    <col min="11" max="11" width="17.140625" style="1" hidden="1" customWidth="1"/>
    <col min="12" max="12" width="20.7109375" style="1" hidden="1" customWidth="1"/>
  </cols>
  <sheetData>
    <row r="1" spans="1:12" x14ac:dyDescent="0.25">
      <c r="A1" s="1" t="s">
        <v>12</v>
      </c>
      <c r="B1" s="1" t="s">
        <v>6</v>
      </c>
      <c r="C1" s="1" t="s">
        <v>7</v>
      </c>
      <c r="D1" s="1" t="s">
        <v>8</v>
      </c>
      <c r="E1" s="1" t="s">
        <v>0</v>
      </c>
      <c r="F1" s="1" t="s">
        <v>1</v>
      </c>
      <c r="G1" s="1" t="s">
        <v>9</v>
      </c>
      <c r="H1" s="1" t="s">
        <v>10</v>
      </c>
      <c r="I1" s="1" t="s">
        <v>11</v>
      </c>
      <c r="J1" s="1" t="s">
        <v>2</v>
      </c>
      <c r="K1" s="1" t="s">
        <v>3</v>
      </c>
      <c r="L1" s="1" t="s">
        <v>4</v>
      </c>
    </row>
    <row r="2" spans="1:12" x14ac:dyDescent="0.25">
      <c r="A2" s="1" t="str">
        <f>IF(Tabla29[[#This Row],[Nombre]]="","","VERDADERO")</f>
        <v>VERDADERO</v>
      </c>
      <c r="B2" s="1" t="s">
        <v>50</v>
      </c>
      <c r="C2" s="1">
        <v>897</v>
      </c>
      <c r="D2" s="1" t="s">
        <v>35</v>
      </c>
      <c r="E2" s="1" t="s">
        <v>5</v>
      </c>
      <c r="F2" s="1" t="s">
        <v>15</v>
      </c>
      <c r="G2" s="1">
        <v>210</v>
      </c>
      <c r="H2" s="1" t="str">
        <f>IF(Tabla29[[#This Row],[Nombre]]="","","Producto almacenable")</f>
        <v>Producto almacenable</v>
      </c>
      <c r="I2" s="1" t="str">
        <f>IF(Tabla29[[#This Row],[Precio de venta]]="","","0%")</f>
        <v>0%</v>
      </c>
      <c r="J2" s="1" t="str">
        <f>IF(Tabla29[[#This Row],[Nombre]]="","","TRUE")</f>
        <v>TRUE</v>
      </c>
      <c r="K2" s="1" t="str">
        <f>IF(Tabla29[[#This Row],[Nombre]]="","","TRUE")</f>
        <v>TRUE</v>
      </c>
      <c r="L2" s="1" t="str">
        <f>IF(Tabla29[[#This Row],[Nombre]]="","","TRUE")</f>
        <v>TRUE</v>
      </c>
    </row>
    <row r="3" spans="1:12" x14ac:dyDescent="0.25">
      <c r="A3" s="1" t="str">
        <f>IF(Tabla29[[#This Row],[Nombre]]="","","VERDADERO")</f>
        <v/>
      </c>
      <c r="E3" s="1" t="s">
        <v>14</v>
      </c>
      <c r="F3" s="1" t="s">
        <v>49</v>
      </c>
      <c r="H3" s="1" t="str">
        <f>IF(Tabla29[[#This Row],[Nombre]]="","","Producto almacenable")</f>
        <v/>
      </c>
      <c r="I3" s="1" t="str">
        <f>IF(Tabla29[[#This Row],[Precio de venta]]="","","0%")</f>
        <v/>
      </c>
      <c r="J3" s="1" t="str">
        <f>IF(Tabla29[[#This Row],[Nombre]]="","","TRUE")</f>
        <v/>
      </c>
      <c r="K3" s="1" t="str">
        <f>IF(Tabla29[[#This Row],[Nombre]]="","","TRUE")</f>
        <v/>
      </c>
      <c r="L3" s="1" t="str">
        <f>IF(Tabla29[[#This Row],[Nombre]]="","","TRUE")</f>
        <v/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BD00E-70E0-4443-B468-1DA6E1BE4CE7}">
  <sheetPr codeName="Hoja6"/>
  <dimension ref="A1:H16"/>
  <sheetViews>
    <sheetView workbookViewId="0">
      <selection activeCell="E19" sqref="E19"/>
    </sheetView>
  </sheetViews>
  <sheetFormatPr baseColWidth="10" defaultRowHeight="15" x14ac:dyDescent="0.25"/>
  <cols>
    <col min="1" max="1" width="7.28515625" style="1" bestFit="1" customWidth="1"/>
    <col min="2" max="2" width="12.42578125" style="1" bestFit="1" customWidth="1"/>
    <col min="3" max="3" width="28.7109375" style="1" bestFit="1" customWidth="1"/>
    <col min="4" max="4" width="22.28515625" style="1" bestFit="1" customWidth="1"/>
    <col min="5" max="5" width="60.7109375" style="1" customWidth="1"/>
    <col min="6" max="6" width="50.5703125" style="1" bestFit="1" customWidth="1"/>
    <col min="7" max="7" width="13.5703125" style="1" customWidth="1"/>
    <col min="8" max="8" width="18.85546875" style="1" customWidth="1"/>
  </cols>
  <sheetData>
    <row r="1" spans="1:8" x14ac:dyDescent="0.25">
      <c r="A1" s="1" t="s">
        <v>31</v>
      </c>
      <c r="B1" s="1" t="s">
        <v>44</v>
      </c>
      <c r="C1" s="1" t="s">
        <v>32</v>
      </c>
      <c r="D1" s="1" t="s">
        <v>33</v>
      </c>
      <c r="E1" s="1" t="s">
        <v>34</v>
      </c>
      <c r="F1" t="s">
        <v>61</v>
      </c>
      <c r="G1"/>
      <c r="H1"/>
    </row>
    <row r="2" spans="1:8" x14ac:dyDescent="0.25">
      <c r="A2" s="1">
        <v>1</v>
      </c>
      <c r="B2" s="1" t="s">
        <v>62</v>
      </c>
      <c r="C2" s="1" t="s">
        <v>63</v>
      </c>
      <c r="D2" s="1" t="s">
        <v>37</v>
      </c>
      <c r="E2" s="1" t="s">
        <v>35</v>
      </c>
      <c r="F2" t="s">
        <v>64</v>
      </c>
      <c r="G2"/>
      <c r="H2"/>
    </row>
    <row r="3" spans="1:8" x14ac:dyDescent="0.25">
      <c r="A3" s="1">
        <v>2</v>
      </c>
      <c r="B3" s="1" t="s">
        <v>51</v>
      </c>
      <c r="C3" s="1" t="s">
        <v>36</v>
      </c>
      <c r="D3" s="1" t="s">
        <v>37</v>
      </c>
      <c r="E3" s="1" t="s">
        <v>13</v>
      </c>
      <c r="F3" t="s">
        <v>65</v>
      </c>
      <c r="G3"/>
      <c r="H3"/>
    </row>
    <row r="4" spans="1:8" x14ac:dyDescent="0.25">
      <c r="A4" s="1">
        <v>3</v>
      </c>
      <c r="B4" s="1" t="s">
        <v>52</v>
      </c>
      <c r="C4" s="1" t="s">
        <v>17</v>
      </c>
      <c r="D4" s="1" t="s">
        <v>37</v>
      </c>
      <c r="E4" s="1" t="s">
        <v>13</v>
      </c>
      <c r="F4" t="s">
        <v>66</v>
      </c>
      <c r="G4"/>
      <c r="H4"/>
    </row>
    <row r="5" spans="1:8" x14ac:dyDescent="0.25">
      <c r="A5" s="1">
        <v>4</v>
      </c>
      <c r="B5" s="1" t="s">
        <v>53</v>
      </c>
      <c r="C5" s="1" t="s">
        <v>16</v>
      </c>
      <c r="D5" s="1" t="s">
        <v>38</v>
      </c>
      <c r="E5" s="1" t="s">
        <v>13</v>
      </c>
      <c r="F5" t="s">
        <v>67</v>
      </c>
      <c r="G5"/>
      <c r="H5"/>
    </row>
    <row r="6" spans="1:8" x14ac:dyDescent="0.25">
      <c r="A6" s="1">
        <v>5</v>
      </c>
      <c r="B6" s="1" t="s">
        <v>54</v>
      </c>
      <c r="C6" s="1" t="s">
        <v>46</v>
      </c>
      <c r="D6" s="1" t="s">
        <v>47</v>
      </c>
      <c r="E6" s="1" t="s">
        <v>13</v>
      </c>
      <c r="F6" t="s">
        <v>66</v>
      </c>
      <c r="G6"/>
      <c r="H6"/>
    </row>
    <row r="7" spans="1:8" x14ac:dyDescent="0.25">
      <c r="A7" s="1">
        <v>6</v>
      </c>
      <c r="B7" s="1" t="s">
        <v>55</v>
      </c>
      <c r="C7" s="1" t="s">
        <v>45</v>
      </c>
      <c r="D7" s="1" t="s">
        <v>48</v>
      </c>
      <c r="E7" s="1" t="s">
        <v>13</v>
      </c>
      <c r="F7" t="s">
        <v>67</v>
      </c>
      <c r="G7"/>
      <c r="H7"/>
    </row>
    <row r="8" spans="1:8" x14ac:dyDescent="0.25">
      <c r="A8" s="1">
        <v>7</v>
      </c>
      <c r="B8" s="1" t="s">
        <v>68</v>
      </c>
      <c r="C8" s="1" t="s">
        <v>69</v>
      </c>
      <c r="D8" s="1" t="s">
        <v>37</v>
      </c>
      <c r="E8" s="1" t="s">
        <v>13</v>
      </c>
      <c r="F8" t="s">
        <v>70</v>
      </c>
    </row>
    <row r="9" spans="1:8" x14ac:dyDescent="0.25">
      <c r="A9" s="1">
        <v>8</v>
      </c>
      <c r="B9" s="1" t="s">
        <v>56</v>
      </c>
      <c r="C9" s="1" t="s">
        <v>39</v>
      </c>
      <c r="D9" s="1" t="s">
        <v>37</v>
      </c>
      <c r="E9" s="1" t="s">
        <v>13</v>
      </c>
      <c r="F9" t="s">
        <v>65</v>
      </c>
    </row>
    <row r="10" spans="1:8" x14ac:dyDescent="0.25">
      <c r="A10" s="1">
        <v>9</v>
      </c>
      <c r="B10" s="1" t="s">
        <v>71</v>
      </c>
      <c r="C10" s="1" t="s">
        <v>72</v>
      </c>
      <c r="D10" s="1" t="s">
        <v>73</v>
      </c>
      <c r="E10" s="1" t="s">
        <v>74</v>
      </c>
      <c r="F10" t="s">
        <v>75</v>
      </c>
    </row>
    <row r="11" spans="1:8" x14ac:dyDescent="0.25">
      <c r="A11" s="1">
        <v>10</v>
      </c>
      <c r="B11" s="1" t="s">
        <v>57</v>
      </c>
      <c r="C11" s="1" t="s">
        <v>40</v>
      </c>
      <c r="D11" s="1" t="s">
        <v>40</v>
      </c>
      <c r="E11" s="1" t="s">
        <v>41</v>
      </c>
      <c r="F11" t="s">
        <v>76</v>
      </c>
    </row>
    <row r="12" spans="1:8" x14ac:dyDescent="0.25">
      <c r="A12" s="1">
        <v>11</v>
      </c>
      <c r="B12" s="1" t="s">
        <v>77</v>
      </c>
      <c r="C12" s="1" t="s">
        <v>59</v>
      </c>
      <c r="D12" s="1" t="s">
        <v>73</v>
      </c>
      <c r="E12" s="1" t="s">
        <v>13</v>
      </c>
      <c r="F12" t="s">
        <v>75</v>
      </c>
    </row>
    <row r="13" spans="1:8" x14ac:dyDescent="0.25">
      <c r="A13" s="1">
        <v>12</v>
      </c>
      <c r="B13" s="1" t="s">
        <v>58</v>
      </c>
      <c r="C13" s="1" t="s">
        <v>42</v>
      </c>
      <c r="D13" s="1" t="s">
        <v>43</v>
      </c>
      <c r="E13" s="1" t="s">
        <v>35</v>
      </c>
      <c r="F13" t="s">
        <v>76</v>
      </c>
    </row>
    <row r="16" spans="1:8" x14ac:dyDescent="0.25">
      <c r="E16" s="3"/>
      <c r="F16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Hoja6.EjecutarScriptPython">
                <anchor moveWithCells="1" sizeWithCells="1">
                  <from>
                    <xdr:col>7</xdr:col>
                    <xdr:colOff>381000</xdr:colOff>
                    <xdr:row>5</xdr:row>
                    <xdr:rowOff>38100</xdr:rowOff>
                  </from>
                  <to>
                    <xdr:col>8</xdr:col>
                    <xdr:colOff>47625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CD93C-31A1-46BB-BFD9-3C683196839B}">
  <sheetPr codeName="Hoja5"/>
  <dimension ref="A1:I109"/>
  <sheetViews>
    <sheetView workbookViewId="0">
      <selection activeCell="E57" sqref="E57"/>
    </sheetView>
  </sheetViews>
  <sheetFormatPr baseColWidth="10" defaultRowHeight="15" x14ac:dyDescent="0.25"/>
  <cols>
    <col min="1" max="1" width="7.28515625" style="1" bestFit="1" customWidth="1"/>
    <col min="2" max="2" width="14.42578125" style="1" bestFit="1" customWidth="1"/>
    <col min="3" max="3" width="28.7109375" style="1" bestFit="1" customWidth="1"/>
    <col min="4" max="4" width="25.42578125" style="1" bestFit="1" customWidth="1"/>
    <col min="5" max="5" width="60.7109375" style="1" bestFit="1" customWidth="1"/>
    <col min="6" max="6" width="16.28515625" style="1" customWidth="1"/>
  </cols>
  <sheetData>
    <row r="1" spans="1:9" x14ac:dyDescent="0.25">
      <c r="A1" s="1" t="s">
        <v>31</v>
      </c>
      <c r="B1" s="1" t="s">
        <v>78</v>
      </c>
      <c r="C1" s="1" t="s">
        <v>32</v>
      </c>
      <c r="D1" s="1" t="s">
        <v>33</v>
      </c>
      <c r="E1" t="s">
        <v>34</v>
      </c>
      <c r="F1" s="1" t="s">
        <v>79</v>
      </c>
    </row>
    <row r="2" spans="1:9" x14ac:dyDescent="0.25">
      <c r="A2" s="1">
        <v>1</v>
      </c>
      <c r="B2" s="1">
        <v>16670</v>
      </c>
      <c r="C2" s="1" t="s">
        <v>42</v>
      </c>
      <c r="D2" s="1" t="s">
        <v>43</v>
      </c>
      <c r="E2" t="s">
        <v>35</v>
      </c>
      <c r="F2" s="1">
        <v>11727</v>
      </c>
    </row>
    <row r="3" spans="1:9" x14ac:dyDescent="0.25">
      <c r="A3" s="1">
        <v>2</v>
      </c>
      <c r="B3" s="1">
        <v>16525</v>
      </c>
      <c r="C3" s="1" t="s">
        <v>36</v>
      </c>
      <c r="D3" s="1" t="s">
        <v>192</v>
      </c>
      <c r="E3" t="s">
        <v>13</v>
      </c>
      <c r="F3" s="1">
        <v>11699</v>
      </c>
    </row>
    <row r="4" spans="1:9" x14ac:dyDescent="0.25">
      <c r="A4" s="1">
        <v>3</v>
      </c>
      <c r="B4" s="1">
        <v>16526</v>
      </c>
      <c r="C4" s="1" t="s">
        <v>36</v>
      </c>
      <c r="D4" s="1" t="s">
        <v>193</v>
      </c>
      <c r="E4" t="s">
        <v>13</v>
      </c>
      <c r="F4" s="1">
        <v>11699</v>
      </c>
    </row>
    <row r="5" spans="1:9" x14ac:dyDescent="0.25">
      <c r="A5" s="1">
        <v>4</v>
      </c>
      <c r="B5" s="1">
        <v>16527</v>
      </c>
      <c r="C5" s="1" t="s">
        <v>36</v>
      </c>
      <c r="D5" s="1" t="s">
        <v>194</v>
      </c>
      <c r="E5" t="s">
        <v>13</v>
      </c>
      <c r="F5" s="1">
        <v>11699</v>
      </c>
    </row>
    <row r="6" spans="1:9" x14ac:dyDescent="0.25">
      <c r="A6" s="1">
        <v>5</v>
      </c>
      <c r="B6" s="1">
        <v>16528</v>
      </c>
      <c r="C6" s="1" t="s">
        <v>36</v>
      </c>
      <c r="D6" s="1" t="s">
        <v>172</v>
      </c>
      <c r="E6" t="s">
        <v>13</v>
      </c>
      <c r="F6" s="1">
        <v>11699</v>
      </c>
    </row>
    <row r="7" spans="1:9" x14ac:dyDescent="0.25">
      <c r="A7" s="1">
        <v>6</v>
      </c>
      <c r="B7" s="1">
        <v>16529</v>
      </c>
      <c r="C7" s="1" t="s">
        <v>36</v>
      </c>
      <c r="D7" s="1" t="s">
        <v>173</v>
      </c>
      <c r="E7" t="s">
        <v>13</v>
      </c>
      <c r="F7" s="1">
        <v>11699</v>
      </c>
    </row>
    <row r="8" spans="1:9" x14ac:dyDescent="0.25">
      <c r="A8" s="1">
        <v>7</v>
      </c>
      <c r="B8" s="1">
        <v>16530</v>
      </c>
      <c r="C8" s="1" t="s">
        <v>36</v>
      </c>
      <c r="D8" s="1" t="s">
        <v>174</v>
      </c>
      <c r="E8" t="s">
        <v>13</v>
      </c>
      <c r="F8" s="1">
        <v>11699</v>
      </c>
    </row>
    <row r="9" spans="1:9" x14ac:dyDescent="0.25">
      <c r="A9" s="1">
        <v>8</v>
      </c>
      <c r="B9" s="1">
        <v>16537</v>
      </c>
      <c r="C9" s="1" t="s">
        <v>36</v>
      </c>
      <c r="D9" s="1" t="s">
        <v>181</v>
      </c>
      <c r="E9" t="s">
        <v>13</v>
      </c>
      <c r="F9" s="1">
        <v>11699</v>
      </c>
      <c r="I9" s="5"/>
    </row>
    <row r="10" spans="1:9" x14ac:dyDescent="0.25">
      <c r="A10" s="1">
        <v>9</v>
      </c>
      <c r="B10" s="1">
        <v>16538</v>
      </c>
      <c r="C10" s="1" t="s">
        <v>36</v>
      </c>
      <c r="D10" s="1" t="s">
        <v>183</v>
      </c>
      <c r="E10" t="s">
        <v>13</v>
      </c>
      <c r="F10" s="1">
        <v>11699</v>
      </c>
    </row>
    <row r="11" spans="1:9" x14ac:dyDescent="0.25">
      <c r="A11" s="1">
        <v>10</v>
      </c>
      <c r="B11" s="1">
        <v>16539</v>
      </c>
      <c r="C11" s="1" t="s">
        <v>36</v>
      </c>
      <c r="D11" s="1" t="s">
        <v>184</v>
      </c>
      <c r="E11" t="s">
        <v>13</v>
      </c>
      <c r="F11" s="1">
        <v>11699</v>
      </c>
    </row>
    <row r="12" spans="1:9" x14ac:dyDescent="0.25">
      <c r="A12" s="1">
        <v>11</v>
      </c>
      <c r="B12" s="1">
        <v>16540</v>
      </c>
      <c r="C12" s="1" t="s">
        <v>36</v>
      </c>
      <c r="D12" s="1" t="s">
        <v>185</v>
      </c>
      <c r="E12" t="s">
        <v>13</v>
      </c>
      <c r="F12" s="1">
        <v>11699</v>
      </c>
    </row>
    <row r="13" spans="1:9" x14ac:dyDescent="0.25">
      <c r="A13" s="1">
        <v>12</v>
      </c>
      <c r="B13" s="1">
        <v>16541</v>
      </c>
      <c r="C13" s="1" t="s">
        <v>36</v>
      </c>
      <c r="D13" s="1" t="s">
        <v>186</v>
      </c>
      <c r="E13" t="s">
        <v>13</v>
      </c>
      <c r="F13" s="1">
        <v>11699</v>
      </c>
    </row>
    <row r="14" spans="1:9" x14ac:dyDescent="0.25">
      <c r="A14" s="1">
        <v>13</v>
      </c>
      <c r="B14" s="1">
        <v>16542</v>
      </c>
      <c r="C14" s="1" t="s">
        <v>36</v>
      </c>
      <c r="D14" s="1" t="s">
        <v>187</v>
      </c>
      <c r="E14" t="s">
        <v>13</v>
      </c>
      <c r="F14" s="1">
        <v>11699</v>
      </c>
    </row>
    <row r="15" spans="1:9" x14ac:dyDescent="0.25">
      <c r="A15" s="1">
        <v>14</v>
      </c>
      <c r="B15" s="1">
        <v>16519</v>
      </c>
      <c r="C15" s="1" t="s">
        <v>36</v>
      </c>
      <c r="D15" s="1" t="s">
        <v>220</v>
      </c>
      <c r="E15" t="s">
        <v>13</v>
      </c>
      <c r="F15" s="1">
        <v>11699</v>
      </c>
    </row>
    <row r="16" spans="1:9" x14ac:dyDescent="0.25">
      <c r="A16" s="1">
        <v>15</v>
      </c>
      <c r="B16" s="1">
        <v>16520</v>
      </c>
      <c r="C16" s="1" t="s">
        <v>36</v>
      </c>
      <c r="D16" s="1" t="s">
        <v>182</v>
      </c>
      <c r="E16" t="s">
        <v>13</v>
      </c>
      <c r="F16" s="1">
        <v>11699</v>
      </c>
    </row>
    <row r="17" spans="1:6" x14ac:dyDescent="0.25">
      <c r="A17" s="1">
        <v>16</v>
      </c>
      <c r="B17" s="1">
        <v>16521</v>
      </c>
      <c r="C17" s="1" t="s">
        <v>36</v>
      </c>
      <c r="D17" s="1" t="s">
        <v>188</v>
      </c>
      <c r="E17" t="s">
        <v>13</v>
      </c>
      <c r="F17" s="1">
        <v>11699</v>
      </c>
    </row>
    <row r="18" spans="1:6" x14ac:dyDescent="0.25">
      <c r="A18" s="1">
        <v>17</v>
      </c>
      <c r="B18" s="1">
        <v>16522</v>
      </c>
      <c r="C18" s="1" t="s">
        <v>36</v>
      </c>
      <c r="D18" s="1" t="s">
        <v>189</v>
      </c>
      <c r="E18" t="s">
        <v>13</v>
      </c>
      <c r="F18" s="1">
        <v>11699</v>
      </c>
    </row>
    <row r="19" spans="1:6" x14ac:dyDescent="0.25">
      <c r="A19" s="1">
        <v>18</v>
      </c>
      <c r="B19" s="1">
        <v>16523</v>
      </c>
      <c r="C19" s="1" t="s">
        <v>36</v>
      </c>
      <c r="D19" s="1" t="s">
        <v>190</v>
      </c>
      <c r="E19" t="s">
        <v>13</v>
      </c>
      <c r="F19" s="1">
        <v>11699</v>
      </c>
    </row>
    <row r="20" spans="1:6" x14ac:dyDescent="0.25">
      <c r="A20" s="1">
        <v>19</v>
      </c>
      <c r="B20" s="1">
        <v>16524</v>
      </c>
      <c r="C20" s="1" t="s">
        <v>36</v>
      </c>
      <c r="D20" s="1" t="s">
        <v>191</v>
      </c>
      <c r="E20" t="s">
        <v>13</v>
      </c>
      <c r="F20" s="1">
        <v>11699</v>
      </c>
    </row>
    <row r="21" spans="1:6" x14ac:dyDescent="0.25">
      <c r="A21" s="1">
        <v>20</v>
      </c>
      <c r="B21" s="1">
        <v>16531</v>
      </c>
      <c r="C21" s="1" t="s">
        <v>36</v>
      </c>
      <c r="D21" s="1" t="s">
        <v>175</v>
      </c>
      <c r="E21" t="s">
        <v>13</v>
      </c>
      <c r="F21" s="1">
        <v>11699</v>
      </c>
    </row>
    <row r="22" spans="1:6" x14ac:dyDescent="0.25">
      <c r="A22" s="1">
        <v>21</v>
      </c>
      <c r="B22" s="1">
        <v>16532</v>
      </c>
      <c r="C22" s="1" t="s">
        <v>36</v>
      </c>
      <c r="D22" s="1" t="s">
        <v>176</v>
      </c>
      <c r="E22" t="s">
        <v>13</v>
      </c>
      <c r="F22" s="1">
        <v>11699</v>
      </c>
    </row>
    <row r="23" spans="1:6" x14ac:dyDescent="0.25">
      <c r="A23" s="1">
        <v>22</v>
      </c>
      <c r="B23" s="1">
        <v>16533</v>
      </c>
      <c r="C23" s="1" t="s">
        <v>36</v>
      </c>
      <c r="D23" s="1" t="s">
        <v>177</v>
      </c>
      <c r="E23" t="s">
        <v>13</v>
      </c>
      <c r="F23" s="1">
        <v>11699</v>
      </c>
    </row>
    <row r="24" spans="1:6" x14ac:dyDescent="0.25">
      <c r="A24" s="1">
        <v>23</v>
      </c>
      <c r="B24" s="1">
        <v>16534</v>
      </c>
      <c r="C24" s="1" t="s">
        <v>36</v>
      </c>
      <c r="D24" s="1" t="s">
        <v>178</v>
      </c>
      <c r="E24" t="s">
        <v>13</v>
      </c>
      <c r="F24" s="1">
        <v>11699</v>
      </c>
    </row>
    <row r="25" spans="1:6" x14ac:dyDescent="0.25">
      <c r="A25" s="1">
        <v>24</v>
      </c>
      <c r="B25" s="1">
        <v>16535</v>
      </c>
      <c r="C25" s="1" t="s">
        <v>36</v>
      </c>
      <c r="D25" s="1" t="s">
        <v>179</v>
      </c>
      <c r="E25" t="s">
        <v>13</v>
      </c>
      <c r="F25" s="1">
        <v>11699</v>
      </c>
    </row>
    <row r="26" spans="1:6" x14ac:dyDescent="0.25">
      <c r="A26" s="1">
        <v>25</v>
      </c>
      <c r="B26" s="1">
        <v>16536</v>
      </c>
      <c r="C26" s="1" t="s">
        <v>36</v>
      </c>
      <c r="D26" s="1" t="s">
        <v>180</v>
      </c>
      <c r="E26" t="s">
        <v>13</v>
      </c>
      <c r="F26" s="1">
        <v>11699</v>
      </c>
    </row>
    <row r="27" spans="1:6" x14ac:dyDescent="0.25">
      <c r="A27" s="1">
        <v>26</v>
      </c>
      <c r="B27" s="1">
        <v>16543</v>
      </c>
      <c r="C27" s="1" t="s">
        <v>39</v>
      </c>
      <c r="D27" s="1" t="s">
        <v>80</v>
      </c>
      <c r="E27" t="s">
        <v>13</v>
      </c>
      <c r="F27" s="1">
        <v>11700</v>
      </c>
    </row>
    <row r="28" spans="1:6" x14ac:dyDescent="0.25">
      <c r="A28" s="1">
        <v>27</v>
      </c>
      <c r="B28" s="1">
        <v>16544</v>
      </c>
      <c r="C28" s="1" t="s">
        <v>39</v>
      </c>
      <c r="D28" s="1" t="s">
        <v>81</v>
      </c>
      <c r="E28" t="s">
        <v>13</v>
      </c>
      <c r="F28" s="1">
        <v>11700</v>
      </c>
    </row>
    <row r="29" spans="1:6" x14ac:dyDescent="0.25">
      <c r="A29" s="1">
        <v>28</v>
      </c>
      <c r="B29" s="1">
        <v>16545</v>
      </c>
      <c r="C29" s="1" t="s">
        <v>39</v>
      </c>
      <c r="D29" s="1" t="s">
        <v>82</v>
      </c>
      <c r="E29" t="s">
        <v>13</v>
      </c>
      <c r="F29" s="1">
        <v>11700</v>
      </c>
    </row>
    <row r="30" spans="1:6" x14ac:dyDescent="0.25">
      <c r="A30" s="1">
        <v>29</v>
      </c>
      <c r="B30" s="1">
        <v>16546</v>
      </c>
      <c r="C30" s="1" t="s">
        <v>39</v>
      </c>
      <c r="D30" s="1" t="s">
        <v>83</v>
      </c>
      <c r="E30" t="s">
        <v>13</v>
      </c>
      <c r="F30" s="1">
        <v>11700</v>
      </c>
    </row>
    <row r="31" spans="1:6" x14ac:dyDescent="0.25">
      <c r="A31" s="1">
        <v>30</v>
      </c>
      <c r="B31" s="1">
        <v>16547</v>
      </c>
      <c r="C31" s="1" t="s">
        <v>39</v>
      </c>
      <c r="D31" s="1" t="s">
        <v>84</v>
      </c>
      <c r="E31" t="s">
        <v>13</v>
      </c>
      <c r="F31" s="1">
        <v>11700</v>
      </c>
    </row>
    <row r="32" spans="1:6" x14ac:dyDescent="0.25">
      <c r="A32" s="1">
        <v>31</v>
      </c>
      <c r="B32" s="1">
        <v>16548</v>
      </c>
      <c r="C32" s="1" t="s">
        <v>39</v>
      </c>
      <c r="D32" s="1" t="s">
        <v>85</v>
      </c>
      <c r="E32" t="s">
        <v>13</v>
      </c>
      <c r="F32" s="1">
        <v>11700</v>
      </c>
    </row>
    <row r="33" spans="1:6" x14ac:dyDescent="0.25">
      <c r="A33" s="1">
        <v>32</v>
      </c>
      <c r="B33" s="1">
        <v>16549</v>
      </c>
      <c r="C33" s="1" t="s">
        <v>39</v>
      </c>
      <c r="D33" s="1" t="s">
        <v>86</v>
      </c>
      <c r="E33" t="s">
        <v>13</v>
      </c>
      <c r="F33" s="1">
        <v>11700</v>
      </c>
    </row>
    <row r="34" spans="1:6" x14ac:dyDescent="0.25">
      <c r="A34" s="1">
        <v>33</v>
      </c>
      <c r="B34" s="1">
        <v>16550</v>
      </c>
      <c r="C34" s="1" t="s">
        <v>39</v>
      </c>
      <c r="D34" s="1" t="s">
        <v>87</v>
      </c>
      <c r="E34" t="s">
        <v>13</v>
      </c>
      <c r="F34" s="1">
        <v>11700</v>
      </c>
    </row>
    <row r="35" spans="1:6" x14ac:dyDescent="0.25">
      <c r="A35" s="1">
        <v>34</v>
      </c>
      <c r="B35" s="1">
        <v>16551</v>
      </c>
      <c r="C35" s="1" t="s">
        <v>39</v>
      </c>
      <c r="D35" s="1" t="s">
        <v>88</v>
      </c>
      <c r="E35" t="s">
        <v>13</v>
      </c>
      <c r="F35" s="1">
        <v>11700</v>
      </c>
    </row>
    <row r="36" spans="1:6" x14ac:dyDescent="0.25">
      <c r="A36" s="1">
        <v>35</v>
      </c>
      <c r="B36" s="1">
        <v>16552</v>
      </c>
      <c r="C36" s="1" t="s">
        <v>39</v>
      </c>
      <c r="D36" s="1" t="s">
        <v>89</v>
      </c>
      <c r="E36" t="s">
        <v>13</v>
      </c>
      <c r="F36" s="1">
        <v>11700</v>
      </c>
    </row>
    <row r="37" spans="1:6" x14ac:dyDescent="0.25">
      <c r="A37" s="1">
        <v>36</v>
      </c>
      <c r="B37" s="1">
        <v>16553</v>
      </c>
      <c r="C37" s="1" t="s">
        <v>39</v>
      </c>
      <c r="D37" s="1" t="s">
        <v>90</v>
      </c>
      <c r="E37" t="s">
        <v>13</v>
      </c>
      <c r="F37" s="1">
        <v>11700</v>
      </c>
    </row>
    <row r="38" spans="1:6" x14ac:dyDescent="0.25">
      <c r="A38" s="1">
        <v>37</v>
      </c>
      <c r="B38" s="1">
        <v>16554</v>
      </c>
      <c r="C38" s="1" t="s">
        <v>39</v>
      </c>
      <c r="D38" s="1" t="s">
        <v>91</v>
      </c>
      <c r="E38" t="s">
        <v>13</v>
      </c>
      <c r="F38" s="1">
        <v>11700</v>
      </c>
    </row>
    <row r="39" spans="1:6" x14ac:dyDescent="0.25">
      <c r="A39" s="1">
        <v>38</v>
      </c>
      <c r="B39" s="1">
        <v>16555</v>
      </c>
      <c r="C39" s="1" t="s">
        <v>39</v>
      </c>
      <c r="D39" s="1" t="s">
        <v>92</v>
      </c>
      <c r="E39" t="s">
        <v>13</v>
      </c>
      <c r="F39" s="1">
        <v>11700</v>
      </c>
    </row>
    <row r="40" spans="1:6" x14ac:dyDescent="0.25">
      <c r="A40" s="1">
        <v>39</v>
      </c>
      <c r="B40" s="1">
        <v>16556</v>
      </c>
      <c r="C40" s="1" t="s">
        <v>39</v>
      </c>
      <c r="D40" s="1" t="s">
        <v>93</v>
      </c>
      <c r="E40" t="s">
        <v>13</v>
      </c>
      <c r="F40" s="1">
        <v>11700</v>
      </c>
    </row>
    <row r="41" spans="1:6" x14ac:dyDescent="0.25">
      <c r="A41" s="1">
        <v>40</v>
      </c>
      <c r="B41" s="1">
        <v>16557</v>
      </c>
      <c r="C41" s="1" t="s">
        <v>39</v>
      </c>
      <c r="D41" s="1" t="s">
        <v>94</v>
      </c>
      <c r="E41" t="s">
        <v>13</v>
      </c>
      <c r="F41" s="1">
        <v>11700</v>
      </c>
    </row>
    <row r="42" spans="1:6" x14ac:dyDescent="0.25">
      <c r="A42" s="1">
        <v>41</v>
      </c>
      <c r="B42" s="1">
        <v>16558</v>
      </c>
      <c r="C42" s="1" t="s">
        <v>39</v>
      </c>
      <c r="D42" s="1" t="s">
        <v>95</v>
      </c>
      <c r="E42" t="s">
        <v>13</v>
      </c>
      <c r="F42" s="1">
        <v>11700</v>
      </c>
    </row>
    <row r="43" spans="1:6" x14ac:dyDescent="0.25">
      <c r="A43" s="1">
        <v>42</v>
      </c>
      <c r="B43" s="1">
        <v>16559</v>
      </c>
      <c r="C43" s="1" t="s">
        <v>39</v>
      </c>
      <c r="D43" s="1" t="s">
        <v>96</v>
      </c>
      <c r="E43" t="s">
        <v>13</v>
      </c>
      <c r="F43" s="1">
        <v>11700</v>
      </c>
    </row>
    <row r="44" spans="1:6" x14ac:dyDescent="0.25">
      <c r="A44" s="1">
        <v>43</v>
      </c>
      <c r="B44" s="1">
        <v>16560</v>
      </c>
      <c r="C44" s="1" t="s">
        <v>39</v>
      </c>
      <c r="D44" s="1" t="s">
        <v>97</v>
      </c>
      <c r="E44" t="s">
        <v>13</v>
      </c>
      <c r="F44" s="1">
        <v>11700</v>
      </c>
    </row>
    <row r="45" spans="1:6" x14ac:dyDescent="0.25">
      <c r="A45" s="1">
        <v>44</v>
      </c>
      <c r="B45" s="1">
        <v>16561</v>
      </c>
      <c r="C45" s="1" t="s">
        <v>39</v>
      </c>
      <c r="D45" s="1" t="s">
        <v>98</v>
      </c>
      <c r="E45" t="s">
        <v>13</v>
      </c>
      <c r="F45" s="1">
        <v>11700</v>
      </c>
    </row>
    <row r="46" spans="1:6" x14ac:dyDescent="0.25">
      <c r="A46" s="1">
        <v>45</v>
      </c>
      <c r="B46" s="1">
        <v>16562</v>
      </c>
      <c r="C46" s="1" t="s">
        <v>39</v>
      </c>
      <c r="D46" s="1" t="s">
        <v>99</v>
      </c>
      <c r="E46" t="s">
        <v>13</v>
      </c>
      <c r="F46" s="1">
        <v>11700</v>
      </c>
    </row>
    <row r="47" spans="1:6" x14ac:dyDescent="0.25">
      <c r="A47" s="1">
        <v>46</v>
      </c>
      <c r="B47" s="1">
        <v>16563</v>
      </c>
      <c r="C47" s="1" t="s">
        <v>39</v>
      </c>
      <c r="D47" s="1" t="s">
        <v>100</v>
      </c>
      <c r="E47" t="s">
        <v>13</v>
      </c>
      <c r="F47" s="1">
        <v>11700</v>
      </c>
    </row>
    <row r="48" spans="1:6" x14ac:dyDescent="0.25">
      <c r="A48" s="1">
        <v>47</v>
      </c>
      <c r="B48" s="1">
        <v>16564</v>
      </c>
      <c r="C48" s="1" t="s">
        <v>39</v>
      </c>
      <c r="D48" s="1" t="s">
        <v>101</v>
      </c>
      <c r="E48" t="s">
        <v>13</v>
      </c>
      <c r="F48" s="1">
        <v>11700</v>
      </c>
    </row>
    <row r="49" spans="1:6" x14ac:dyDescent="0.25">
      <c r="A49" s="1">
        <v>48</v>
      </c>
      <c r="B49" s="1">
        <v>16565</v>
      </c>
      <c r="C49" s="1" t="s">
        <v>39</v>
      </c>
      <c r="D49" s="1" t="s">
        <v>102</v>
      </c>
      <c r="E49" t="s">
        <v>13</v>
      </c>
      <c r="F49" s="1">
        <v>11700</v>
      </c>
    </row>
    <row r="50" spans="1:6" x14ac:dyDescent="0.25">
      <c r="A50" s="1">
        <v>49</v>
      </c>
      <c r="B50" s="1">
        <v>16566</v>
      </c>
      <c r="C50" s="1" t="s">
        <v>39</v>
      </c>
      <c r="D50" s="1" t="s">
        <v>103</v>
      </c>
      <c r="E50" t="s">
        <v>13</v>
      </c>
      <c r="F50" s="1">
        <v>11700</v>
      </c>
    </row>
    <row r="51" spans="1:6" x14ac:dyDescent="0.25">
      <c r="A51" s="1">
        <v>50</v>
      </c>
      <c r="B51" s="1">
        <v>16657</v>
      </c>
      <c r="C51" s="1" t="s">
        <v>17</v>
      </c>
      <c r="D51" s="1" t="s">
        <v>104</v>
      </c>
      <c r="E51" t="s">
        <v>13</v>
      </c>
      <c r="F51" s="1">
        <v>11719</v>
      </c>
    </row>
    <row r="52" spans="1:6" x14ac:dyDescent="0.25">
      <c r="A52" s="1">
        <v>51</v>
      </c>
      <c r="B52" s="1">
        <v>16658</v>
      </c>
      <c r="C52" s="1" t="s">
        <v>17</v>
      </c>
      <c r="D52" s="1" t="s">
        <v>105</v>
      </c>
      <c r="E52" t="s">
        <v>13</v>
      </c>
      <c r="F52" s="1">
        <v>11719</v>
      </c>
    </row>
    <row r="53" spans="1:6" x14ac:dyDescent="0.25">
      <c r="A53" s="1">
        <v>52</v>
      </c>
      <c r="B53" s="1">
        <v>16659</v>
      </c>
      <c r="C53" s="1" t="s">
        <v>17</v>
      </c>
      <c r="D53" s="1" t="s">
        <v>106</v>
      </c>
      <c r="E53" t="s">
        <v>13</v>
      </c>
      <c r="F53" s="1">
        <v>11719</v>
      </c>
    </row>
    <row r="54" spans="1:6" x14ac:dyDescent="0.25">
      <c r="A54" s="1">
        <v>53</v>
      </c>
      <c r="B54" s="1">
        <v>16660</v>
      </c>
      <c r="C54" s="1" t="s">
        <v>17</v>
      </c>
      <c r="D54" s="1" t="s">
        <v>107</v>
      </c>
      <c r="E54" t="s">
        <v>13</v>
      </c>
      <c r="F54" s="1">
        <v>11719</v>
      </c>
    </row>
    <row r="55" spans="1:6" x14ac:dyDescent="0.25">
      <c r="A55" s="1">
        <v>54</v>
      </c>
      <c r="B55" s="1">
        <v>16661</v>
      </c>
      <c r="C55" s="1" t="s">
        <v>17</v>
      </c>
      <c r="D55" s="1" t="s">
        <v>108</v>
      </c>
      <c r="E55" t="s">
        <v>13</v>
      </c>
      <c r="F55" s="1">
        <v>11719</v>
      </c>
    </row>
    <row r="56" spans="1:6" x14ac:dyDescent="0.25">
      <c r="A56" s="1">
        <v>55</v>
      </c>
      <c r="B56" s="1">
        <v>16662</v>
      </c>
      <c r="C56" s="1" t="s">
        <v>17</v>
      </c>
      <c r="D56" s="1" t="s">
        <v>250</v>
      </c>
      <c r="E56" t="s">
        <v>251</v>
      </c>
      <c r="F56" s="1">
        <v>11719</v>
      </c>
    </row>
    <row r="57" spans="1:6" x14ac:dyDescent="0.25">
      <c r="A57" s="1">
        <v>56</v>
      </c>
      <c r="B57" s="1">
        <v>16932</v>
      </c>
      <c r="C57" s="1" t="s">
        <v>69</v>
      </c>
      <c r="D57" s="1" t="s">
        <v>109</v>
      </c>
      <c r="E57" t="s">
        <v>13</v>
      </c>
      <c r="F57" s="1">
        <v>11766</v>
      </c>
    </row>
    <row r="58" spans="1:6" x14ac:dyDescent="0.25">
      <c r="A58" s="1">
        <v>57</v>
      </c>
      <c r="B58" s="1">
        <v>16933</v>
      </c>
      <c r="C58" s="1" t="s">
        <v>69</v>
      </c>
      <c r="D58" s="1" t="s">
        <v>221</v>
      </c>
      <c r="E58" t="s">
        <v>13</v>
      </c>
      <c r="F58" s="1">
        <v>11766</v>
      </c>
    </row>
    <row r="59" spans="1:6" x14ac:dyDescent="0.25">
      <c r="A59" s="3">
        <v>58</v>
      </c>
      <c r="B59" s="1">
        <v>16934</v>
      </c>
      <c r="C59" s="1" t="s">
        <v>69</v>
      </c>
      <c r="D59" s="1" t="s">
        <v>110</v>
      </c>
      <c r="E59" t="s">
        <v>13</v>
      </c>
      <c r="F59" s="1">
        <v>11766</v>
      </c>
    </row>
    <row r="60" spans="1:6" x14ac:dyDescent="0.25">
      <c r="A60" s="1">
        <v>59</v>
      </c>
      <c r="B60" s="1">
        <v>16935</v>
      </c>
      <c r="C60" s="1" t="s">
        <v>69</v>
      </c>
      <c r="D60" s="1" t="s">
        <v>111</v>
      </c>
      <c r="E60" t="s">
        <v>13</v>
      </c>
      <c r="F60" s="1">
        <v>11766</v>
      </c>
    </row>
    <row r="61" spans="1:6" x14ac:dyDescent="0.25">
      <c r="A61" s="1">
        <v>60</v>
      </c>
      <c r="B61" s="1">
        <v>16936</v>
      </c>
      <c r="C61" s="1" t="s">
        <v>69</v>
      </c>
      <c r="D61" s="1" t="s">
        <v>112</v>
      </c>
      <c r="E61" t="s">
        <v>13</v>
      </c>
      <c r="F61" s="1">
        <v>11766</v>
      </c>
    </row>
    <row r="62" spans="1:6" x14ac:dyDescent="0.25">
      <c r="A62" s="1">
        <v>61</v>
      </c>
      <c r="B62" s="1">
        <v>16937</v>
      </c>
      <c r="C62" s="1" t="s">
        <v>69</v>
      </c>
      <c r="D62" s="1" t="s">
        <v>113</v>
      </c>
      <c r="E62" t="s">
        <v>13</v>
      </c>
      <c r="F62" s="1">
        <v>11766</v>
      </c>
    </row>
    <row r="63" spans="1:6" x14ac:dyDescent="0.25">
      <c r="A63" s="1">
        <v>62</v>
      </c>
      <c r="B63" s="1">
        <v>16938</v>
      </c>
      <c r="C63" s="1" t="s">
        <v>69</v>
      </c>
      <c r="D63" s="1" t="s">
        <v>114</v>
      </c>
      <c r="E63" t="s">
        <v>13</v>
      </c>
      <c r="F63" s="1">
        <v>11766</v>
      </c>
    </row>
    <row r="64" spans="1:6" x14ac:dyDescent="0.25">
      <c r="A64" s="1">
        <v>63</v>
      </c>
      <c r="B64" s="1">
        <v>16939</v>
      </c>
      <c r="C64" s="1" t="s">
        <v>69</v>
      </c>
      <c r="D64" s="1" t="s">
        <v>115</v>
      </c>
      <c r="E64" t="s">
        <v>13</v>
      </c>
      <c r="F64" s="1">
        <v>11766</v>
      </c>
    </row>
    <row r="65" spans="1:6" x14ac:dyDescent="0.25">
      <c r="A65" s="1">
        <v>64</v>
      </c>
      <c r="B65" s="1">
        <v>16669</v>
      </c>
      <c r="C65" s="1" t="s">
        <v>40</v>
      </c>
      <c r="D65" s="1" t="s">
        <v>40</v>
      </c>
      <c r="E65" t="s">
        <v>41</v>
      </c>
      <c r="F65" s="1">
        <v>11726</v>
      </c>
    </row>
    <row r="66" spans="1:6" x14ac:dyDescent="0.25">
      <c r="A66" s="1">
        <v>65</v>
      </c>
      <c r="B66" s="1">
        <v>16874</v>
      </c>
      <c r="C66" s="1" t="s">
        <v>63</v>
      </c>
      <c r="D66" s="1" t="s">
        <v>37</v>
      </c>
      <c r="E66" t="s">
        <v>35</v>
      </c>
      <c r="F66" s="1">
        <v>11756</v>
      </c>
    </row>
    <row r="67" spans="1:6" x14ac:dyDescent="0.25">
      <c r="A67" s="1">
        <v>66</v>
      </c>
      <c r="B67" s="1">
        <v>16875</v>
      </c>
      <c r="C67" s="1" t="s">
        <v>63</v>
      </c>
      <c r="D67" s="1" t="s">
        <v>37</v>
      </c>
      <c r="E67" t="s">
        <v>35</v>
      </c>
      <c r="F67" s="1">
        <v>11756</v>
      </c>
    </row>
    <row r="68" spans="1:6" x14ac:dyDescent="0.25">
      <c r="A68" s="1">
        <v>67</v>
      </c>
      <c r="B68" s="1">
        <v>16876</v>
      </c>
      <c r="C68" s="1" t="s">
        <v>63</v>
      </c>
      <c r="D68" s="1" t="s">
        <v>37</v>
      </c>
      <c r="E68" t="s">
        <v>35</v>
      </c>
      <c r="F68" s="1">
        <v>11756</v>
      </c>
    </row>
    <row r="69" spans="1:6" x14ac:dyDescent="0.25">
      <c r="A69" s="1">
        <v>68</v>
      </c>
      <c r="B69" s="1">
        <v>16877</v>
      </c>
      <c r="C69" s="1" t="s">
        <v>63</v>
      </c>
      <c r="D69" s="1" t="s">
        <v>37</v>
      </c>
      <c r="E69" t="s">
        <v>35</v>
      </c>
      <c r="F69" s="1">
        <v>11756</v>
      </c>
    </row>
    <row r="70" spans="1:6" x14ac:dyDescent="0.25">
      <c r="A70" s="1">
        <v>69</v>
      </c>
      <c r="B70" s="1">
        <v>16878</v>
      </c>
      <c r="C70" s="1" t="s">
        <v>63</v>
      </c>
      <c r="D70" s="1" t="s">
        <v>37</v>
      </c>
      <c r="E70" t="s">
        <v>35</v>
      </c>
      <c r="F70" s="1">
        <v>11756</v>
      </c>
    </row>
    <row r="71" spans="1:6" x14ac:dyDescent="0.25">
      <c r="A71" s="1">
        <v>70</v>
      </c>
      <c r="B71" s="1">
        <v>16879</v>
      </c>
      <c r="C71" s="1" t="s">
        <v>63</v>
      </c>
      <c r="D71" s="1" t="s">
        <v>37</v>
      </c>
      <c r="E71" t="s">
        <v>35</v>
      </c>
      <c r="F71" s="1">
        <v>11756</v>
      </c>
    </row>
    <row r="72" spans="1:6" x14ac:dyDescent="0.25">
      <c r="A72" s="1">
        <v>71</v>
      </c>
      <c r="B72" s="1">
        <v>16645</v>
      </c>
      <c r="C72" s="1" t="s">
        <v>16</v>
      </c>
      <c r="D72" s="1" t="s">
        <v>37</v>
      </c>
      <c r="E72" t="s">
        <v>13</v>
      </c>
      <c r="F72" s="1">
        <v>11718</v>
      </c>
    </row>
    <row r="73" spans="1:6" x14ac:dyDescent="0.25">
      <c r="A73" s="1">
        <v>72</v>
      </c>
      <c r="B73" s="1">
        <v>16646</v>
      </c>
      <c r="C73" s="1" t="s">
        <v>16</v>
      </c>
      <c r="D73" s="1" t="s">
        <v>37</v>
      </c>
      <c r="E73" t="s">
        <v>13</v>
      </c>
      <c r="F73" s="1">
        <v>11718</v>
      </c>
    </row>
    <row r="74" spans="1:6" x14ac:dyDescent="0.25">
      <c r="A74" s="1">
        <v>73</v>
      </c>
      <c r="B74" s="1">
        <v>16647</v>
      </c>
      <c r="C74" s="1" t="s">
        <v>16</v>
      </c>
      <c r="D74" s="1" t="s">
        <v>37</v>
      </c>
      <c r="E74" t="s">
        <v>13</v>
      </c>
      <c r="F74" s="1">
        <v>11718</v>
      </c>
    </row>
    <row r="75" spans="1:6" x14ac:dyDescent="0.25">
      <c r="A75" s="1">
        <v>74</v>
      </c>
      <c r="B75" s="1">
        <v>16648</v>
      </c>
      <c r="C75" s="1" t="s">
        <v>16</v>
      </c>
      <c r="D75" s="1" t="s">
        <v>37</v>
      </c>
      <c r="E75" t="s">
        <v>13</v>
      </c>
      <c r="F75" s="1">
        <v>11718</v>
      </c>
    </row>
    <row r="76" spans="1:6" x14ac:dyDescent="0.25">
      <c r="A76" s="1">
        <v>75</v>
      </c>
      <c r="B76" s="1">
        <v>16649</v>
      </c>
      <c r="C76" s="1" t="s">
        <v>16</v>
      </c>
      <c r="D76" s="1" t="s">
        <v>37</v>
      </c>
      <c r="E76" t="s">
        <v>13</v>
      </c>
      <c r="F76" s="1">
        <v>11718</v>
      </c>
    </row>
    <row r="77" spans="1:6" x14ac:dyDescent="0.25">
      <c r="A77" s="1">
        <v>76</v>
      </c>
      <c r="B77" s="1">
        <v>16650</v>
      </c>
      <c r="C77" s="1" t="s">
        <v>16</v>
      </c>
      <c r="D77" s="1" t="s">
        <v>37</v>
      </c>
      <c r="E77" t="s">
        <v>13</v>
      </c>
      <c r="F77" s="1">
        <v>11718</v>
      </c>
    </row>
    <row r="78" spans="1:6" x14ac:dyDescent="0.25">
      <c r="A78" s="1">
        <v>77</v>
      </c>
      <c r="B78" s="1">
        <v>16651</v>
      </c>
      <c r="C78" s="1" t="s">
        <v>16</v>
      </c>
      <c r="D78" s="1" t="s">
        <v>37</v>
      </c>
      <c r="E78" t="s">
        <v>13</v>
      </c>
      <c r="F78" s="1">
        <v>11718</v>
      </c>
    </row>
    <row r="79" spans="1:6" x14ac:dyDescent="0.25">
      <c r="A79" s="1">
        <v>78</v>
      </c>
      <c r="B79" s="1">
        <v>16652</v>
      </c>
      <c r="C79" s="1" t="s">
        <v>16</v>
      </c>
      <c r="D79" s="1" t="s">
        <v>37</v>
      </c>
      <c r="E79" t="s">
        <v>13</v>
      </c>
      <c r="F79" s="1">
        <v>11718</v>
      </c>
    </row>
    <row r="80" spans="1:6" x14ac:dyDescent="0.25">
      <c r="A80" s="1">
        <v>79</v>
      </c>
      <c r="B80" s="1">
        <v>16653</v>
      </c>
      <c r="C80" s="1" t="s">
        <v>16</v>
      </c>
      <c r="D80" s="1" t="s">
        <v>37</v>
      </c>
      <c r="E80" t="s">
        <v>13</v>
      </c>
      <c r="F80" s="1">
        <v>11718</v>
      </c>
    </row>
    <row r="81" spans="1:6" x14ac:dyDescent="0.25">
      <c r="A81" s="1">
        <v>80</v>
      </c>
      <c r="B81" s="1">
        <v>16654</v>
      </c>
      <c r="C81" s="1" t="s">
        <v>16</v>
      </c>
      <c r="D81" s="1" t="s">
        <v>37</v>
      </c>
      <c r="E81" t="s">
        <v>13</v>
      </c>
      <c r="F81" s="1">
        <v>11718</v>
      </c>
    </row>
    <row r="82" spans="1:6" x14ac:dyDescent="0.25">
      <c r="A82" s="1">
        <v>81</v>
      </c>
      <c r="B82" s="1">
        <v>16655</v>
      </c>
      <c r="C82" s="1" t="s">
        <v>16</v>
      </c>
      <c r="D82" s="1" t="s">
        <v>37</v>
      </c>
      <c r="E82" t="s">
        <v>13</v>
      </c>
      <c r="F82" s="1">
        <v>11718</v>
      </c>
    </row>
    <row r="83" spans="1:6" x14ac:dyDescent="0.25">
      <c r="A83" s="1">
        <v>82</v>
      </c>
      <c r="B83" s="1">
        <v>16656</v>
      </c>
      <c r="C83" s="1" t="s">
        <v>16</v>
      </c>
      <c r="D83" s="1" t="s">
        <v>37</v>
      </c>
      <c r="E83" t="s">
        <v>13</v>
      </c>
      <c r="F83" s="1">
        <v>11718</v>
      </c>
    </row>
    <row r="84" spans="1:6" x14ac:dyDescent="0.25">
      <c r="A84" s="1">
        <v>83</v>
      </c>
      <c r="B84" s="1">
        <v>16857</v>
      </c>
      <c r="C84" s="1" t="s">
        <v>46</v>
      </c>
      <c r="D84" s="1" t="s">
        <v>37</v>
      </c>
      <c r="E84" t="s">
        <v>13</v>
      </c>
      <c r="F84" s="1">
        <v>11751</v>
      </c>
    </row>
    <row r="85" spans="1:6" x14ac:dyDescent="0.25">
      <c r="A85" s="1">
        <v>84</v>
      </c>
      <c r="B85" s="1">
        <v>16858</v>
      </c>
      <c r="C85" s="1" t="s">
        <v>46</v>
      </c>
      <c r="D85" s="1" t="s">
        <v>37</v>
      </c>
      <c r="E85" t="s">
        <v>13</v>
      </c>
      <c r="F85" s="1">
        <v>11751</v>
      </c>
    </row>
    <row r="86" spans="1:6" x14ac:dyDescent="0.25">
      <c r="A86" s="1">
        <v>85</v>
      </c>
      <c r="B86" s="1">
        <v>16859</v>
      </c>
      <c r="C86" s="1" t="s">
        <v>46</v>
      </c>
      <c r="D86" s="1" t="s">
        <v>37</v>
      </c>
      <c r="E86" t="s">
        <v>13</v>
      </c>
      <c r="F86" s="1">
        <v>11751</v>
      </c>
    </row>
    <row r="87" spans="1:6" x14ac:dyDescent="0.25">
      <c r="A87" s="1">
        <v>86</v>
      </c>
      <c r="B87" s="1">
        <v>16860</v>
      </c>
      <c r="C87" s="1" t="s">
        <v>46</v>
      </c>
      <c r="D87" s="1" t="s">
        <v>37</v>
      </c>
      <c r="E87" t="s">
        <v>13</v>
      </c>
      <c r="F87" s="1">
        <v>11751</v>
      </c>
    </row>
    <row r="88" spans="1:6" x14ac:dyDescent="0.25">
      <c r="A88" s="1">
        <v>87</v>
      </c>
      <c r="B88" s="1">
        <v>16861</v>
      </c>
      <c r="C88" s="1" t="s">
        <v>46</v>
      </c>
      <c r="D88" s="1" t="s">
        <v>37</v>
      </c>
      <c r="E88" t="s">
        <v>13</v>
      </c>
      <c r="F88" s="1">
        <v>11751</v>
      </c>
    </row>
    <row r="89" spans="1:6" x14ac:dyDescent="0.25">
      <c r="A89" s="1">
        <v>88</v>
      </c>
      <c r="B89" s="1">
        <v>16862</v>
      </c>
      <c r="C89" s="1" t="s">
        <v>46</v>
      </c>
      <c r="D89" s="1" t="s">
        <v>37</v>
      </c>
      <c r="E89" t="s">
        <v>13</v>
      </c>
      <c r="F89" s="1">
        <v>11751</v>
      </c>
    </row>
    <row r="90" spans="1:6" x14ac:dyDescent="0.25">
      <c r="A90" s="1">
        <v>89</v>
      </c>
      <c r="B90" s="1">
        <v>16845</v>
      </c>
      <c r="C90" s="1" t="s">
        <v>45</v>
      </c>
      <c r="D90" s="1" t="s">
        <v>37</v>
      </c>
      <c r="E90" t="s">
        <v>13</v>
      </c>
      <c r="F90" s="1">
        <v>11750</v>
      </c>
    </row>
    <row r="91" spans="1:6" x14ac:dyDescent="0.25">
      <c r="A91" s="1">
        <v>90</v>
      </c>
      <c r="B91" s="1">
        <v>16846</v>
      </c>
      <c r="C91" s="1" t="s">
        <v>45</v>
      </c>
      <c r="D91" s="1" t="s">
        <v>37</v>
      </c>
      <c r="E91" t="s">
        <v>13</v>
      </c>
      <c r="F91" s="1">
        <v>11750</v>
      </c>
    </row>
    <row r="92" spans="1:6" x14ac:dyDescent="0.25">
      <c r="A92" s="1">
        <v>91</v>
      </c>
      <c r="B92" s="1">
        <v>16847</v>
      </c>
      <c r="C92" s="1" t="s">
        <v>45</v>
      </c>
      <c r="D92" s="1" t="s">
        <v>37</v>
      </c>
      <c r="E92" t="s">
        <v>13</v>
      </c>
      <c r="F92" s="1">
        <v>11750</v>
      </c>
    </row>
    <row r="93" spans="1:6" x14ac:dyDescent="0.25">
      <c r="A93" s="1">
        <v>92</v>
      </c>
      <c r="B93" s="1">
        <v>16848</v>
      </c>
      <c r="C93" s="1" t="s">
        <v>45</v>
      </c>
      <c r="D93" s="1" t="s">
        <v>37</v>
      </c>
      <c r="E93" t="s">
        <v>13</v>
      </c>
      <c r="F93" s="1">
        <v>11750</v>
      </c>
    </row>
    <row r="94" spans="1:6" x14ac:dyDescent="0.25">
      <c r="A94" s="1">
        <v>93</v>
      </c>
      <c r="B94" s="1">
        <v>16849</v>
      </c>
      <c r="C94" s="1" t="s">
        <v>45</v>
      </c>
      <c r="D94" s="1" t="s">
        <v>37</v>
      </c>
      <c r="E94" t="s">
        <v>13</v>
      </c>
      <c r="F94" s="1">
        <v>11750</v>
      </c>
    </row>
    <row r="95" spans="1:6" x14ac:dyDescent="0.25">
      <c r="A95" s="1">
        <v>94</v>
      </c>
      <c r="B95" s="1">
        <v>16850</v>
      </c>
      <c r="C95" s="1" t="s">
        <v>45</v>
      </c>
      <c r="D95" s="1" t="s">
        <v>37</v>
      </c>
      <c r="E95" t="s">
        <v>13</v>
      </c>
      <c r="F95" s="1">
        <v>11750</v>
      </c>
    </row>
    <row r="96" spans="1:6" x14ac:dyDescent="0.25">
      <c r="A96" s="1">
        <v>95</v>
      </c>
      <c r="B96" s="1">
        <v>16851</v>
      </c>
      <c r="C96" s="1" t="s">
        <v>45</v>
      </c>
      <c r="D96" s="1" t="s">
        <v>37</v>
      </c>
      <c r="E96" t="s">
        <v>13</v>
      </c>
      <c r="F96" s="1">
        <v>11750</v>
      </c>
    </row>
    <row r="97" spans="1:6" x14ac:dyDescent="0.25">
      <c r="A97" s="1">
        <v>96</v>
      </c>
      <c r="B97" s="1">
        <v>16852</v>
      </c>
      <c r="C97" s="1" t="s">
        <v>45</v>
      </c>
      <c r="D97" s="1" t="s">
        <v>37</v>
      </c>
      <c r="E97" t="s">
        <v>13</v>
      </c>
      <c r="F97" s="1">
        <v>11750</v>
      </c>
    </row>
    <row r="98" spans="1:6" x14ac:dyDescent="0.25">
      <c r="A98" s="1">
        <v>97</v>
      </c>
      <c r="B98" s="1">
        <v>16853</v>
      </c>
      <c r="C98" s="1" t="s">
        <v>45</v>
      </c>
      <c r="D98" s="1" t="s">
        <v>37</v>
      </c>
      <c r="E98" t="s">
        <v>13</v>
      </c>
      <c r="F98" s="1">
        <v>11750</v>
      </c>
    </row>
    <row r="99" spans="1:6" x14ac:dyDescent="0.25">
      <c r="A99" s="1">
        <v>98</v>
      </c>
      <c r="B99" s="1">
        <v>16854</v>
      </c>
      <c r="C99" s="1" t="s">
        <v>45</v>
      </c>
      <c r="D99" s="1" t="s">
        <v>37</v>
      </c>
      <c r="E99" t="s">
        <v>13</v>
      </c>
      <c r="F99" s="1">
        <v>11750</v>
      </c>
    </row>
    <row r="100" spans="1:6" x14ac:dyDescent="0.25">
      <c r="A100" s="1">
        <v>99</v>
      </c>
      <c r="B100" s="1">
        <v>16855</v>
      </c>
      <c r="C100" s="1" t="s">
        <v>45</v>
      </c>
      <c r="D100" s="1" t="s">
        <v>37</v>
      </c>
      <c r="E100" t="s">
        <v>13</v>
      </c>
      <c r="F100" s="1">
        <v>11750</v>
      </c>
    </row>
    <row r="101" spans="1:6" x14ac:dyDescent="0.25">
      <c r="A101" s="1">
        <v>100</v>
      </c>
      <c r="B101" s="1">
        <v>16856</v>
      </c>
      <c r="C101" s="1" t="s">
        <v>45</v>
      </c>
      <c r="D101" s="1" t="s">
        <v>37</v>
      </c>
      <c r="E101" t="s">
        <v>13</v>
      </c>
      <c r="F101" s="1">
        <v>11750</v>
      </c>
    </row>
    <row r="102" spans="1:6" x14ac:dyDescent="0.25">
      <c r="A102" s="1">
        <v>101</v>
      </c>
      <c r="B102" s="1">
        <v>16928</v>
      </c>
      <c r="C102" s="1" t="s">
        <v>72</v>
      </c>
      <c r="D102" s="1" t="s">
        <v>37</v>
      </c>
      <c r="E102" t="s">
        <v>74</v>
      </c>
      <c r="F102" s="1">
        <v>11765</v>
      </c>
    </row>
    <row r="103" spans="1:6" x14ac:dyDescent="0.25">
      <c r="A103" s="1">
        <v>102</v>
      </c>
      <c r="B103" s="1">
        <v>16929</v>
      </c>
      <c r="C103" s="1" t="s">
        <v>72</v>
      </c>
      <c r="D103" s="1" t="s">
        <v>37</v>
      </c>
      <c r="E103" t="s">
        <v>74</v>
      </c>
      <c r="F103" s="1">
        <v>11765</v>
      </c>
    </row>
    <row r="104" spans="1:6" x14ac:dyDescent="0.25">
      <c r="A104" s="1">
        <v>103</v>
      </c>
      <c r="B104" s="1">
        <v>16930</v>
      </c>
      <c r="C104" s="1" t="s">
        <v>72</v>
      </c>
      <c r="D104" s="1" t="s">
        <v>37</v>
      </c>
      <c r="E104" t="s">
        <v>74</v>
      </c>
      <c r="F104" s="1">
        <v>11765</v>
      </c>
    </row>
    <row r="105" spans="1:6" x14ac:dyDescent="0.25">
      <c r="A105" s="1">
        <v>104</v>
      </c>
      <c r="B105" s="1">
        <v>16931</v>
      </c>
      <c r="C105" s="1" t="s">
        <v>72</v>
      </c>
      <c r="D105" s="1" t="s">
        <v>37</v>
      </c>
      <c r="E105" t="s">
        <v>74</v>
      </c>
      <c r="F105" s="1">
        <v>11765</v>
      </c>
    </row>
    <row r="106" spans="1:6" x14ac:dyDescent="0.25">
      <c r="A106" s="1">
        <v>105</v>
      </c>
      <c r="B106" s="1">
        <v>16869</v>
      </c>
      <c r="C106" s="1" t="s">
        <v>59</v>
      </c>
      <c r="D106" s="1" t="s">
        <v>37</v>
      </c>
      <c r="E106" t="s">
        <v>13</v>
      </c>
      <c r="F106" s="1">
        <v>11755</v>
      </c>
    </row>
    <row r="107" spans="1:6" x14ac:dyDescent="0.25">
      <c r="A107" s="1">
        <v>106</v>
      </c>
      <c r="B107" s="1">
        <v>16870</v>
      </c>
      <c r="C107" s="1" t="s">
        <v>59</v>
      </c>
      <c r="D107" s="1" t="s">
        <v>37</v>
      </c>
      <c r="E107" t="s">
        <v>13</v>
      </c>
      <c r="F107" s="1">
        <v>11755</v>
      </c>
    </row>
    <row r="108" spans="1:6" x14ac:dyDescent="0.25">
      <c r="A108" s="1">
        <v>107</v>
      </c>
      <c r="B108" s="1">
        <v>16871</v>
      </c>
      <c r="C108" s="1" t="s">
        <v>59</v>
      </c>
      <c r="D108" s="1" t="s">
        <v>37</v>
      </c>
      <c r="E108" t="s">
        <v>13</v>
      </c>
      <c r="F108" s="1">
        <v>11755</v>
      </c>
    </row>
    <row r="109" spans="1:6" x14ac:dyDescent="0.25">
      <c r="A109" s="1">
        <v>108</v>
      </c>
      <c r="B109" s="1">
        <v>16872</v>
      </c>
      <c r="C109" s="1" t="s">
        <v>59</v>
      </c>
      <c r="D109" s="1" t="s">
        <v>37</v>
      </c>
      <c r="E109" t="s">
        <v>13</v>
      </c>
      <c r="F109" s="1">
        <v>11755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Hoja6.EjecutarScriptPython">
                <anchor moveWithCells="1" sizeWithCells="1">
                  <from>
                    <xdr:col>7</xdr:col>
                    <xdr:colOff>180975</xdr:colOff>
                    <xdr:row>4</xdr:row>
                    <xdr:rowOff>38100</xdr:rowOff>
                  </from>
                  <to>
                    <xdr:col>8</xdr:col>
                    <xdr:colOff>342900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79181-5F14-4500-AAED-CAF529B9AF4B}">
  <sheetPr codeName="Hoja7"/>
  <dimension ref="A1:B27"/>
  <sheetViews>
    <sheetView workbookViewId="0">
      <selection activeCell="F11" sqref="F11"/>
    </sheetView>
  </sheetViews>
  <sheetFormatPr baseColWidth="10" defaultRowHeight="15" x14ac:dyDescent="0.25"/>
  <cols>
    <col min="1" max="1" width="7.28515625" style="1" bestFit="1" customWidth="1"/>
    <col min="2" max="2" width="81.140625" style="1" bestFit="1" customWidth="1"/>
  </cols>
  <sheetData>
    <row r="1" spans="1:2" x14ac:dyDescent="0.25">
      <c r="A1" s="1" t="s">
        <v>31</v>
      </c>
      <c r="B1" s="1" t="s">
        <v>197</v>
      </c>
    </row>
    <row r="2" spans="1:2" x14ac:dyDescent="0.25">
      <c r="A2" s="1">
        <v>64</v>
      </c>
      <c r="B2" s="1" t="s">
        <v>198</v>
      </c>
    </row>
    <row r="3" spans="1:2" x14ac:dyDescent="0.25">
      <c r="A3" s="1">
        <v>65</v>
      </c>
      <c r="B3" s="1" t="s">
        <v>199</v>
      </c>
    </row>
    <row r="4" spans="1:2" x14ac:dyDescent="0.25">
      <c r="A4" s="1">
        <v>66</v>
      </c>
      <c r="B4" s="1" t="s">
        <v>200</v>
      </c>
    </row>
    <row r="5" spans="1:2" x14ac:dyDescent="0.25">
      <c r="A5" s="1">
        <v>67</v>
      </c>
      <c r="B5" s="1" t="s">
        <v>201</v>
      </c>
    </row>
    <row r="6" spans="1:2" x14ac:dyDescent="0.25">
      <c r="A6" s="1">
        <v>68</v>
      </c>
      <c r="B6" s="1" t="s">
        <v>202</v>
      </c>
    </row>
    <row r="7" spans="1:2" x14ac:dyDescent="0.25">
      <c r="A7" s="1">
        <v>69</v>
      </c>
      <c r="B7" s="1" t="s">
        <v>203</v>
      </c>
    </row>
    <row r="8" spans="1:2" x14ac:dyDescent="0.25">
      <c r="A8" s="1">
        <v>70</v>
      </c>
      <c r="B8" s="1" t="s">
        <v>204</v>
      </c>
    </row>
    <row r="9" spans="1:2" x14ac:dyDescent="0.25">
      <c r="A9" s="1">
        <v>71</v>
      </c>
      <c r="B9" s="1" t="s">
        <v>205</v>
      </c>
    </row>
    <row r="10" spans="1:2" x14ac:dyDescent="0.25">
      <c r="A10" s="1">
        <v>72</v>
      </c>
      <c r="B10" s="1" t="s">
        <v>206</v>
      </c>
    </row>
    <row r="11" spans="1:2" x14ac:dyDescent="0.25">
      <c r="A11" s="1">
        <v>73</v>
      </c>
      <c r="B11" s="1" t="s">
        <v>207</v>
      </c>
    </row>
    <row r="12" spans="1:2" x14ac:dyDescent="0.25">
      <c r="A12" s="1">
        <v>74</v>
      </c>
      <c r="B12" s="1" t="s">
        <v>208</v>
      </c>
    </row>
    <row r="13" spans="1:2" x14ac:dyDescent="0.25">
      <c r="A13" s="1">
        <v>75</v>
      </c>
      <c r="B13" s="1" t="s">
        <v>209</v>
      </c>
    </row>
    <row r="14" spans="1:2" x14ac:dyDescent="0.25">
      <c r="A14" s="1">
        <v>76</v>
      </c>
      <c r="B14" s="1" t="s">
        <v>210</v>
      </c>
    </row>
    <row r="15" spans="1:2" x14ac:dyDescent="0.25">
      <c r="A15" s="1">
        <v>77</v>
      </c>
      <c r="B15" s="1" t="s">
        <v>211</v>
      </c>
    </row>
    <row r="16" spans="1:2" x14ac:dyDescent="0.25">
      <c r="A16" s="1">
        <v>78</v>
      </c>
      <c r="B16" s="1" t="s">
        <v>212</v>
      </c>
    </row>
    <row r="17" spans="1:2" x14ac:dyDescent="0.25">
      <c r="A17" s="1">
        <v>79</v>
      </c>
      <c r="B17" s="1" t="s">
        <v>213</v>
      </c>
    </row>
    <row r="18" spans="1:2" x14ac:dyDescent="0.25">
      <c r="A18" s="1">
        <v>80</v>
      </c>
      <c r="B18" s="1" t="s">
        <v>214</v>
      </c>
    </row>
    <row r="19" spans="1:2" x14ac:dyDescent="0.25">
      <c r="A19" s="1">
        <v>81</v>
      </c>
      <c r="B19" s="1" t="s">
        <v>215</v>
      </c>
    </row>
    <row r="20" spans="1:2" x14ac:dyDescent="0.25">
      <c r="A20" s="1">
        <v>82</v>
      </c>
      <c r="B20" s="1" t="s">
        <v>216</v>
      </c>
    </row>
    <row r="21" spans="1:2" x14ac:dyDescent="0.25">
      <c r="A21" s="1">
        <v>83</v>
      </c>
      <c r="B21" s="1" t="s">
        <v>217</v>
      </c>
    </row>
    <row r="22" spans="1:2" x14ac:dyDescent="0.25">
      <c r="A22" s="1">
        <v>84</v>
      </c>
      <c r="B22" s="1" t="s">
        <v>218</v>
      </c>
    </row>
    <row r="23" spans="1:2" x14ac:dyDescent="0.25">
      <c r="A23" s="1">
        <v>85</v>
      </c>
      <c r="B23" s="1" t="s">
        <v>219</v>
      </c>
    </row>
    <row r="27" spans="1:2" x14ac:dyDescent="0.25">
      <c r="B27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Hoja6.EjecutarScriptPython">
                <anchor moveWithCells="1" sizeWithCells="1">
                  <from>
                    <xdr:col>3</xdr:col>
                    <xdr:colOff>28575</xdr:colOff>
                    <xdr:row>3</xdr:row>
                    <xdr:rowOff>76200</xdr:rowOff>
                  </from>
                  <to>
                    <xdr:col>4</xdr:col>
                    <xdr:colOff>190500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71FB22-E768-462F-9588-12BBBB6950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Productos</vt:lpstr>
      <vt:lpstr>Atributos</vt:lpstr>
      <vt:lpstr>Orden Compra</vt:lpstr>
      <vt:lpstr>Reposición</vt:lpstr>
      <vt:lpstr>Base de Datos Productos</vt:lpstr>
      <vt:lpstr>Base de Datos Variantes</vt:lpstr>
      <vt:lpstr>Base de Datos Proveedores</vt:lpstr>
      <vt:lpstr>CategoryList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Campos</dc:creator>
  <cp:lastModifiedBy>Otros Usuarios</cp:lastModifiedBy>
  <dcterms:created xsi:type="dcterms:W3CDTF">2024-08-04T22:46:51Z</dcterms:created>
  <dcterms:modified xsi:type="dcterms:W3CDTF">2024-08-17T20:20:25Z</dcterms:modified>
</cp:coreProperties>
</file>